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3d42da81c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20ce371645341cf"/>
    <x:sheet xmlns:r="http://schemas.openxmlformats.org/officeDocument/2006/relationships" name="RESUMEN" sheetId="2" r:id="Rbfd64169e9ed432e"/>
    <x:sheet xmlns:r="http://schemas.openxmlformats.org/officeDocument/2006/relationships" name="CASO" sheetId="3" r:id="Rcc29881e6f6f4690"/>
    <x:sheet xmlns:r="http://schemas.openxmlformats.org/officeDocument/2006/relationships" name="COMPONENTES" sheetId="4" r:id="Rea8e18476c724ad9"/>
    <x:sheet xmlns:r="http://schemas.openxmlformats.org/officeDocument/2006/relationships" name="SERVICIOS_B" sheetId="5" r:id="R02c98cb7465347e6"/>
    <x:sheet xmlns:r="http://schemas.openxmlformats.org/officeDocument/2006/relationships" name="GRAVEDAD" sheetId="6" r:id="R2bb88dbb0dad4d6d"/>
    <x:sheet xmlns:r="http://schemas.openxmlformats.org/officeDocument/2006/relationships" name="REVISION" sheetId="7" r:id="R34086a3cc8ea4eac"/>
    <x:sheet xmlns:r="http://schemas.openxmlformats.org/officeDocument/2006/relationships" name="MULTAS_7317" sheetId="8" r:id="R2d49b66f1363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%"/>
    <x:numFmt numFmtId="202" formatCode="#,##0.00"/>
    <x:numFmt numFmtId="203" formatCode="&quot;$&quot;#,##0.00;[Red](&quot;$&quot;#,##0.00);-"/>
    <x:numFmt numFmtId="204" formatCode="0.0000"/>
    <x:numFmt numFmtId="205" formatCode="[$₡-es-CR]#,##0"/>
    <x:numFmt numFmtId="206" formatCode="0.00"/>
  </x:numFmts>
  <x:fonts count="9">
    <x:font>
      <x:sz val="11"/>
      <x:name val="Carlito"/>
    </x:font>
    <x:font>
      <x:b/>
      <x:sz val="15"/>
      <x:color rgb="FFFFFFFF"/>
      <x:name val="Arial"/>
    </x:font>
    <x:font>
      <x:i/>
      <x:sz val="10"/>
      <x:color rgb="FF1F293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1"/>
      <x:color rgb="FF1F2933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F293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202" fontId="6" fillId="5" borderId="1" xfId="0" applyNumberFormat="1" applyFont="1" applyFill="1" applyBorder="1" applyAlignment="1">
      <x:alignment vertical="center"/>
    </x:xf>
    <x:xf numFmtId="203" fontId="7" fillId="6" borderId="1" xfId="0" applyNumberFormat="1" applyFont="1" applyFill="1" applyBorder="1" applyAlignment="1">
      <x:alignment vertical="center"/>
    </x:xf>
    <x:xf numFmtId="204" fontId="7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205" fontId="6" fillId="11" borderId="1" xfId="0" applyNumberFormat="1" applyFont="1" applyFill="1" applyBorder="1" applyAlignment="1">
      <x:alignment vertical="top" wrapText="1"/>
    </x:xf>
    <x:xf numFmtId="205" fontId="4" fillId="10" borderId="1" xfId="0" applyNumberFormat="1" applyFont="1" applyFill="1" applyBorder="1" applyAlignment="1">
      <x:alignment vertical="top" wrapText="1"/>
    </x:xf>
    <x:xf numFmtId="205" fontId="8" fillId="1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6" fontId="6" fillId="11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8" fillId="11" borderId="1" xfId="0" applyNumberFormat="1" applyFont="1" applyFill="1" applyBorder="1" applyAlignment="1">
      <x:alignment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4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202" fontId="8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1F293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a207846114edf" /><Relationship Type="http://schemas.openxmlformats.org/officeDocument/2006/relationships/theme" Target="/xl/theme/theme1.xml" Id="R323207499fb64a92" /><Relationship Type="http://schemas.openxmlformats.org/officeDocument/2006/relationships/sharedStrings" Target="/xl/sharedStrings.xml" Id="R6eff41ea006b46e9" /><Relationship Type="http://schemas.openxmlformats.org/officeDocument/2006/relationships/worksheet" Target="/xl/worksheets/sheet1.xml" Id="Rc20ce371645341cf" /><Relationship Type="http://schemas.openxmlformats.org/officeDocument/2006/relationships/worksheet" Target="/xl/worksheets/sheet2.xml" Id="Rbfd64169e9ed432e" /><Relationship Type="http://schemas.openxmlformats.org/officeDocument/2006/relationships/worksheet" Target="/xl/worksheets/sheet3.xml" Id="Rcc29881e6f6f4690" /><Relationship Type="http://schemas.openxmlformats.org/officeDocument/2006/relationships/worksheet" Target="/xl/worksheets/sheet4.xml" Id="Rea8e18476c724ad9" /><Relationship Type="http://schemas.openxmlformats.org/officeDocument/2006/relationships/worksheet" Target="/xl/worksheets/sheet5.xml" Id="R02c98cb7465347e6" /><Relationship Type="http://schemas.openxmlformats.org/officeDocument/2006/relationships/worksheet" Target="/xl/worksheets/sheet6.xml" Id="R2bb88dbb0dad4d6d" /><Relationship Type="http://schemas.openxmlformats.org/officeDocument/2006/relationships/worksheet" Target="/xl/worksheets/sheet7.xml" Id="R34086a3cc8ea4eac" /><Relationship Type="http://schemas.openxmlformats.org/officeDocument/2006/relationships/worksheet" Target="/xl/worksheets/sheet8.xml" Id="R2d49b66f1363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9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2" ht="28" customHeight="1">
      <x:c r="A2" s="3" t="str">
        <x:v>Valoración técnicamente completa después del hecho</x:v>
      </x:c>
      <x:c r="B2" s="3" t="str">
        <x:v>Valoración técnicamente completa después del hecho</x:v>
      </x:c>
      <x:c r="C2" s="3" t="str">
        <x:v>Valoración técnicamente completa después del hecho</x:v>
      </x:c>
      <x:c r="D2" s="3" t="str">
        <x:v>Valoración técnicamente completa después del hecho</x:v>
      </x:c>
      <x:c r="E2" s="3" t="str">
        <x:v>Valoración técnicamente completa después del hecho</x:v>
      </x:c>
      <x:c r="F2" s="3" t="str">
        <x:v>Valoración técnicamente completa después del hecho</x:v>
      </x:c>
      <x:c r="G2" s="3" t="str">
        <x:v>Valoración técnicamente completa después del hecho</x:v>
      </x:c>
      <x:c r="H2" s="3" t="str">
        <x:v>Valoración técnicamente completa después del hecho</x:v>
      </x:c>
    </x:row>
    <x:row r="3" ht="30" customHeight="1">
      <x:c r="A3" s="7" t="str">
        <x:v>Use este libro cuando ya existen resultados finales o suficientemente completos del caso, el cuidado, la restauración y el seguimiento.</x:v>
      </x:c>
      <x:c r="B3" s="7" t="str">
        <x:v>Use este libro cuando ya existen resultados finales o suficientemente completos del caso, el cuidado, la restauración y el seguimiento.</x:v>
      </x:c>
      <x:c r="C3" s="7" t="str">
        <x:v>Use este libro cuando ya existen resultados finales o suficientemente completos del caso, el cuidado, la restauración y el seguimiento.</x:v>
      </x:c>
      <x:c r="D3" s="7" t="str">
        <x:v>Use este libro cuando ya existen resultados finales o suficientemente completos del caso, el cuidado, la restauración y el seguimiento.</x:v>
      </x:c>
      <x:c r="E3" s="7" t="str">
        <x:v>Use este libro cuando ya existen resultados finales o suficientemente completos del caso, el cuidado, la restauración y el seguimiento.</x:v>
      </x:c>
      <x:c r="F3" s="7" t="str">
        <x:v>Use este libro cuando ya existen resultados finales o suficientemente completos del caso, el cuidado, la restauración y el seguimiento.</x:v>
      </x:c>
      <x:c r="G3" s="7" t="str">
        <x:v>Use este libro cuando ya existen resultados finales o suficientemente completos del caso, el cuidado, la restauración y el seguimiento.</x:v>
      </x:c>
      <x:c r="H3" s="7" t="str">
        <x:v>Use este libro cuando ya existen resultados finales o suficientemente completos del caso, el cuidado, la restauración y el seguimiento.</x:v>
      </x:c>
    </x:row>
    <x:row r="4">
      <x:c r="A4" s="34"/>
      <x:c r="B4" s="34"/>
      <x:c r="C4" s="34"/>
      <x:c r="D4" s="34"/>
      <x:c r="E4" s="34"/>
      <x:c r="F4" s="34"/>
      <x:c r="G4" s="34"/>
      <x:c r="H4" s="34"/>
    </x:row>
    <x:row r="5" ht="22" customHeight="1">
      <x:c r="A5" s="10" t="str">
        <x:v>Orden de uso</x:v>
      </x:c>
      <x:c r="B5" s="10" t="str">
        <x:v>Orden de uso</x:v>
      </x:c>
      <x:c r="C5" s="10" t="str">
        <x:v>Orden de uso</x:v>
      </x:c>
      <x:c r="D5" s="10" t="str">
        <x:v>Orden de uso</x:v>
      </x:c>
      <x:c r="E5" s="10" t="str">
        <x:v>Orden de uso</x:v>
      </x:c>
      <x:c r="F5" s="10" t="str">
        <x:v>Orden de uso</x:v>
      </x:c>
      <x:c r="G5" s="10" t="str">
        <x:v>Orden de uso</x:v>
      </x:c>
      <x:c r="H5" s="10" t="str">
        <x:v>Orden de uso</x:v>
      </x:c>
    </x:row>
    <x:row r="6">
      <x:c r="A6" s="17" t="str">
        <x:v>1</x:v>
      </x:c>
      <x:c r="B6" s="18" t="str">
        <x:v>CASO</x:v>
      </x:c>
      <x:c r="C6" s="18" t="str">
        <x:v>Registre el expediente, la cadena causal y los supuestos económicos.</x:v>
      </x:c>
      <x:c r="D6" s="34"/>
      <x:c r="E6" s="34"/>
      <x:c r="F6" s="34"/>
      <x:c r="G6" s="34"/>
      <x:c r="H6" s="34"/>
    </x:row>
    <x:row r="7">
      <x:c r="A7" s="17" t="str">
        <x:v>2</x:v>
      </x:c>
      <x:c r="B7" s="18" t="str">
        <x:v>COMPONENTES</x:v>
      </x:c>
      <x:c r="C7" s="18" t="str">
        <x:v>Añada A1, A2, C, D, E y R. Use una fila por costo, pérdida o medida.</x:v>
      </x:c>
      <x:c r="D7" s="34"/>
      <x:c r="E7" s="34"/>
      <x:c r="F7" s="34"/>
      <x:c r="G7" s="34"/>
      <x:c r="H7" s="34"/>
    </x:row>
    <x:row r="8">
      <x:c r="A8" s="17" t="str">
        <x:v>3</x:v>
      </x:c>
      <x:c r="B8" s="18" t="str">
        <x:v>SERVICIOS_B</x:v>
      </x:c>
      <x:c r="C8" s="18" t="str">
        <x:v>Añada servicios solo cuando exista recurso, función, beneficiario y periodo demostrables.</x:v>
      </x:c>
      <x:c r="D8" s="34"/>
      <x:c r="E8" s="34"/>
      <x:c r="F8" s="34"/>
      <x:c r="G8" s="34"/>
      <x:c r="H8" s="34"/>
    </x:row>
    <x:row r="9">
      <x:c r="A9" s="17" t="str">
        <x:v>4</x:v>
      </x:c>
      <x:c r="B9" s="18" t="str">
        <x:v>GRAVEDAD</x:v>
      </x:c>
      <x:c r="C9" s="18" t="str">
        <x:v>Registre G y los efectos que no pueden monetizarse.</x:v>
      </x:c>
      <x:c r="D9" s="34"/>
      <x:c r="E9" s="34"/>
      <x:c r="F9" s="34"/>
      <x:c r="G9" s="34"/>
      <x:c r="H9" s="34"/>
    </x:row>
    <x:row r="10">
      <x:c r="A10" s="17" t="str">
        <x:v>5</x:v>
      </x:c>
      <x:c r="B10" s="18" t="str">
        <x:v>MULTAS_7317</x:v>
      </x:c>
      <x:c r="C10" s="18" t="str">
        <x:v>Marque las multas aplicables, confirme el salario base y revise el monto.</x:v>
      </x:c>
      <x:c r="D10" s="34"/>
      <x:c r="E10" s="34"/>
      <x:c r="F10" s="34"/>
      <x:c r="G10" s="34"/>
      <x:c r="H10" s="34"/>
    </x:row>
    <x:row r="11">
      <x:c r="A11" s="17" t="str">
        <x:v>6</x:v>
      </x:c>
      <x:c r="B11" s="18" t="str">
        <x:v>REVISION</x:v>
      </x:c>
      <x:c r="C11" s="18" t="str">
        <x:v>Complete los controles y las aprobaciones técnica, económica y jurídica.</x:v>
      </x:c>
      <x:c r="D11" s="34"/>
      <x:c r="E11" s="34"/>
      <x:c r="F11" s="34"/>
      <x:c r="G11" s="34"/>
      <x:c r="H11" s="34"/>
    </x:row>
    <x:row r="12" ht="22" customHeight="1">
      <x:c r="A12" s="72" t="str">
        <x:v>7</x:v>
      </x:c>
      <x:c r="B12" s="50" t="str">
        <x:v>RESUMEN</x:v>
      </x:c>
      <x:c r="C12" s="50" t="str">
        <x:v>Lea el daño, la restauración, las multas y el total final.</x:v>
      </x:c>
      <x:c r="D12" s="34"/>
      <x:c r="E12" s="34"/>
      <x:c r="F12" s="34"/>
      <x:c r="G12" s="34"/>
      <x:c r="H12" s="34"/>
    </x:row>
    <x:row r="13" ht="22" customHeight="1">
      <x:c r="A13" s="10" t="str">
        <x:v>Reglas que no deben omitirse</x:v>
      </x:c>
      <x:c r="B13" s="10" t="str">
        <x:v>Reglas que no deben omitirse</x:v>
      </x:c>
      <x:c r="C13" s="10" t="str">
        <x:v>Reglas que no deben omitirse</x:v>
      </x:c>
      <x:c r="D13" s="10" t="str">
        <x:v>Reglas que no deben omitirse</x:v>
      </x:c>
      <x:c r="E13" s="10" t="str">
        <x:v>Reglas que no deben omitirse</x:v>
      </x:c>
      <x:c r="F13" s="10" t="str">
        <x:v>Reglas que no deben omitirse</x:v>
      </x:c>
      <x:c r="G13" s="10" t="str">
        <x:v>Reglas que no deben omitirse</x:v>
      </x:c>
      <x:c r="H13" s="10" t="str">
        <x:v>Reglas que no deben omitirse</x:v>
      </x:c>
    </x:row>
    <x:row r="14">
      <x:c r="A14" s="20" t="str">
        <x:v>1. Sustituya proyecciones históricas por datos específicos del caso cuando estén disponibles.</x:v>
      </x:c>
      <x:c r="B14" s="20"/>
      <x:c r="C14" s="20"/>
      <x:c r="D14" s="20"/>
      <x:c r="E14" s="20"/>
      <x:c r="F14" s="20"/>
      <x:c r="G14" s="20"/>
      <x:c r="H14" s="20"/>
    </x:row>
    <x:row r="15">
      <x:c r="A15" s="20" t="str">
        <x:v>2. No use precio ilegal, multa, salario base, UICN o CITES como multiplicador del daño. La multa se registra por separado y solo se suma al cierre.</x:v>
      </x:c>
      <x:c r="B15" s="20"/>
      <x:c r="C15" s="20"/>
      <x:c r="D15" s="20"/>
      <x:c r="E15" s="20"/>
      <x:c r="F15" s="20"/>
      <x:c r="G15" s="20"/>
      <x:c r="H15" s="20"/>
    </x:row>
    <x:row r="16">
      <x:c r="A16" s="20" t="str">
        <x:v>3. No sume A2 y R si ambos producen la misma equivalencia del individuo perdido.</x:v>
      </x:c>
      <x:c r="B16" s="20"/>
      <x:c r="C16" s="20"/>
      <x:c r="D16" s="20"/>
      <x:c r="E16" s="20"/>
      <x:c r="F16" s="20"/>
      <x:c r="G16" s="20"/>
      <x:c r="H16" s="20"/>
    </x:row>
    <x:row r="17">
      <x:c r="A17" s="20" t="str">
        <x:v>4. No sume B y R por el mismo servicio restaurado. B conserva pérdidas interinas o residuales.</x:v>
      </x:c>
      <x:c r="B17" s="20"/>
      <x:c r="C17" s="20"/>
      <x:c r="D17" s="20"/>
      <x:c r="E17" s="20"/>
      <x:c r="F17" s="20"/>
      <x:c r="G17" s="20"/>
      <x:c r="H17" s="20"/>
    </x:row>
    <x:row r="18">
      <x:c r="A18" s="20" t="str">
        <x:v>5. Mantenga separados los resultados principales, exploratorios, no monetarios y la capa G.</x:v>
      </x:c>
      <x:c r="B18" s="20"/>
      <x:c r="C18" s="20"/>
      <x:c r="D18" s="20"/>
      <x:c r="E18" s="20"/>
      <x:c r="F18" s="20"/>
      <x:c r="G18" s="20"/>
      <x:c r="H18" s="20"/>
    </x:row>
    <x:row r="19">
      <x:c r="A19" s="20" t="str">
        <x:v>6. Conserve la fuente, unidad, año de precios, comparabilidad, versión y responsable de cada dato.</x:v>
      </x:c>
      <x:c r="B19" s="20"/>
      <x:c r="C19" s="20"/>
      <x:c r="D19" s="20"/>
      <x:c r="E19" s="20"/>
      <x:c r="F19" s="20"/>
      <x:c r="G19" s="20"/>
      <x:c r="H19" s="20"/>
    </x:row>
    <x:row r="20">
      <x:c r="A20" s="20" t="str">
        <x:v>7. Presente rangos y sensibilidad. Una cifra precisa sin respaldo no mejora la valoración.</x:v>
      </x:c>
      <x:c r="B20" s="20"/>
      <x:c r="C20" s="20"/>
      <x:c r="D20" s="20"/>
      <x:c r="E20" s="20"/>
      <x:c r="F20" s="20"/>
      <x:c r="G20" s="20"/>
      <x:c r="H20" s="20"/>
    </x:row>
    <x:row r="21">
      <x:c r="A21" s="34"/>
      <x:c r="B21" s="34"/>
      <x:c r="C21" s="34"/>
      <x:c r="D21" s="34"/>
      <x:c r="E21" s="34"/>
      <x:c r="F21" s="34"/>
      <x:c r="G21" s="34"/>
      <x:c r="H21" s="34"/>
    </x:row>
    <x:row r="22" ht="22" customHeight="1">
      <x:c r="A22" s="10" t="str">
        <x:v>Base metodológica utilizada</x:v>
      </x:c>
      <x:c r="B22" s="10" t="str">
        <x:v>Base metodológica utilizada</x:v>
      </x:c>
      <x:c r="C22" s="10" t="str">
        <x:v>Base metodológica utilizada</x:v>
      </x:c>
      <x:c r="D22" s="10" t="str">
        <x:v>Base metodológica utilizada</x:v>
      </x:c>
      <x:c r="E22" s="10" t="str">
        <x:v>Base metodológica utilizada</x:v>
      </x:c>
      <x:c r="F22" s="10" t="str">
        <x:v>Base metodológica utilizada</x:v>
      </x:c>
      <x:c r="G22" s="10" t="str">
        <x:v>Base metodológica utilizada</x:v>
      </x:c>
      <x:c r="H22" s="10" t="str">
        <x:v>Base metodológica utilizada</x:v>
      </x:c>
    </x:row>
    <x:row r="23">
      <x:c r="A23" s="20" t="str">
        <x:v>Síntesis técnica revisada de la metodología de valoración económica del daño por tráfico de vida silvestre, secciones 2 a 9 y 12.</x:v>
      </x:c>
      <x:c r="B23" s="20"/>
      <x:c r="C23" s="20"/>
      <x:c r="D23" s="20"/>
      <x:c r="E23" s="20"/>
      <x:c r="F23" s="20"/>
      <x:c r="G23" s="20"/>
      <x:c r="H23" s="20"/>
    </x:row>
    <x:row r="24">
      <x:c r="A24" s="20" t="str">
        <x:v>Versión sintetizada para tomadores de decisiones y equipos de gobernanza, secciones 2 a 8.</x:v>
      </x:c>
      <x:c r="B24" s="20"/>
      <x:c r="C24" s="20"/>
      <x:c r="D24" s="20"/>
      <x:c r="E24" s="20"/>
      <x:c r="F24" s="20"/>
      <x:c r="G24" s="20"/>
      <x:c r="H24" s="20"/>
    </x:row>
    <x:row r="25">
      <x:c r="A25" s="20" t="str">
        <x:v>Producto 2, hallazgos metodológicos preliminares, arquitectura de cuentas, evidencia, restauración y modelo de datos.</x:v>
      </x:c>
      <x:c r="B25" s="20"/>
      <x:c r="C25" s="20"/>
      <x:c r="D25" s="20"/>
      <x:c r="E25" s="20"/>
      <x:c r="F25" s="20"/>
      <x:c r="G25" s="20"/>
      <x:c r="H25" s="20"/>
    </x:row>
    <x:row r="26">
      <x:c r="A26" s="20" t="str">
        <x:v>Los valores que ingrese deben provenir del expediente o de fuentes documentadas. Esta plantilla no contiene tarifas oficiales.</x:v>
      </x:c>
      <x:c r="B26" s="20"/>
      <x:c r="C26" s="20"/>
      <x:c r="D26" s="20"/>
      <x:c r="E26" s="20"/>
      <x:c r="F26" s="20"/>
      <x:c r="G26" s="20"/>
      <x:c r="H26" s="20"/>
    </x:row>
  </x:sheetData>
  <x:mergeCells>
    <x:mergeCell ref="A2:H2"/>
    <x:mergeCell ref="A3:H3"/>
    <x:mergeCell ref="A5:H5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</x:cols>
  <x:sheetData>
    <x:row r="2" ht="28" customHeight="1">
      <x:c r="A2" s="3" t="str">
        <x:v>Resumen de la valoración técnicamente completa</x:v>
      </x:c>
      <x:c r="B2" s="3" t="str">
        <x:v>Resumen de la valoración técnicamente completa</x:v>
      </x:c>
      <x:c r="C2" s="3" t="str">
        <x:v>Resumen de la valoración técnicamente completa</x:v>
      </x:c>
      <x:c r="D2" s="3" t="str">
        <x:v>Resumen de la valoración técnicamente completa</x:v>
      </x:c>
      <x:c r="E2" s="3" t="str">
        <x:v>Resumen de la valoración técnicamente completa</x:v>
      </x:c>
      <x:c r="F2" s="3" t="str">
        <x:v>Resumen de la valoración técnicamente completa</x:v>
      </x:c>
    </x:row>
    <x:row r="3" ht="30" customHeight="1">
      <x:c r="A3" s="7" t="str">
        <x:v>Los resultados principales usan líneas con nexo causal y evidencia A, B o C. R, lo exploratorio y G se muestran separados.</x:v>
      </x:c>
      <x:c r="B3" s="7" t="str">
        <x:v>Los resultados principales usan líneas con nexo causal y evidencia A, B o C. R, lo exploratorio y G se muestran separados.</x:v>
      </x:c>
      <x:c r="C3" s="7" t="str">
        <x:v>Los resultados principales usan líneas con nexo causal y evidencia A, B o C. R, lo exploratorio y G se muestran separados.</x:v>
      </x:c>
      <x:c r="D3" s="7" t="str">
        <x:v>Los resultados principales usan líneas con nexo causal y evidencia A, B o C. R, lo exploratorio y G se muestran separados.</x:v>
      </x:c>
      <x:c r="E3" s="7" t="str">
        <x:v>Los resultados principales usan líneas con nexo causal y evidencia A, B o C. R, lo exploratorio y G se muestran separados.</x:v>
      </x:c>
      <x:c r="F3" s="7" t="str">
        <x:v>Los resultados principales usan líneas con nexo causal y evidencia A, B o C. R, lo exploratorio y G se muestran separados.</x:v>
      </x:c>
    </x:row>
    <x:row r="4">
      <x:c r="A4" s="34"/>
      <x:c r="B4" s="34"/>
      <x:c r="C4" s="34"/>
      <x:c r="D4" s="34"/>
      <x:c r="E4" s="34"/>
      <x:c r="F4" s="34"/>
    </x:row>
    <x:row r="5">
      <x:c r="A5" s="13" t="str">
        <x:v>Estado de revisión</x:v>
      </x:c>
      <x:c r="B5" s="30" t="str">
        <x:f>IF(REVISION!B18=0,"Lista para revisión final","Faltan "&amp;REVISION!B18&amp;" controles")</x:f>
        <x:v>Faltan 12 controles</x:v>
      </x:c>
      <x:c r="C5" s="34"/>
      <x:c r="D5" s="34"/>
      <x:c r="E5" s="34"/>
      <x:c r="F5" s="34"/>
    </x:row>
    <x:row r="6">
      <x:c r="A6" s="34"/>
      <x:c r="B6" s="34"/>
      <x:c r="C6" s="34"/>
      <x:c r="D6" s="34"/>
      <x:c r="E6" s="34"/>
      <x:c r="F6" s="34"/>
    </x:row>
    <x:row r="7" ht="34" customHeight="1">
      <x:c r="A7" s="28" t="str">
        <x:v>Cuenta</x:v>
      </x:c>
      <x:c r="B7" s="28" t="str">
        <x:v>Componente</x:v>
      </x:c>
      <x:c r="C7" s="28" t="str">
        <x:v>Bajo</x:v>
      </x:c>
      <x:c r="D7" s="28" t="str">
        <x:v>Central</x:v>
      </x:c>
      <x:c r="E7" s="28" t="str">
        <x:v>Alto</x:v>
      </x:c>
      <x:c r="F7" s="28" t="str">
        <x:v>Tratamiento</x:v>
      </x:c>
    </x:row>
    <x:row r="8">
      <x:c r="A8" s="13" t="str">
        <x:v>A1</x:v>
      </x:c>
      <x:c r="B8" s="13" t="str">
        <x:v>Pérdida biofísica o poblacional</x:v>
      </x:c>
      <x:c r="C8" s="32" t="n">
        <x:f>SUMIFS(COMPONENTES!$S$7:$S$106,COMPONENTES!$B$7:$B$106,"A1",COMPONENTES!$R$7:$R$106,"Principal")</x:f>
        <x:v>0</x:v>
      </x:c>
      <x:c r="D8" s="32" t="n">
        <x:f>SUMIFS(COMPONENTES!$T$7:$T$106,COMPONENTES!$B$7:$B$106,"A1",COMPONENTES!$R$7:$R$106,"Principal")</x:f>
        <x:v>0</x:v>
      </x:c>
      <x:c r="E8" s="32" t="n">
        <x:f>SUMIFS(COMPONENTES!$U$7:$U$106,COMPONENTES!$B$7:$B$106,"A1",COMPONENTES!$R$7:$R$106,"Principal")</x:f>
        <x:v>0</x:v>
      </x:c>
      <x:c r="F8" s="13" t="str">
        <x:v>Principal</x:v>
      </x:c>
    </x:row>
    <x:row r="9">
      <x:c r="A9" s="13" t="str">
        <x:v>A2</x:v>
      </x:c>
      <x:c r="B9" s="13" t="str">
        <x:v>Pérdida irreversible y equivalencia individual</x:v>
      </x:c>
      <x:c r="C9" s="32" t="n">
        <x:f>SUMIFS(COMPONENTES!$S$7:$S$106,COMPONENTES!$B$7:$B$106,"A2",COMPONENTES!$R$7:$R$106,"Principal")</x:f>
        <x:v>0</x:v>
      </x:c>
      <x:c r="D9" s="32" t="n">
        <x:f>SUMIFS(COMPONENTES!$T$7:$T$106,COMPONENTES!$B$7:$B$106,"A2",COMPONENTES!$R$7:$R$106,"Principal")</x:f>
        <x:v>0</x:v>
      </x:c>
      <x:c r="E9" s="32" t="n">
        <x:f>SUMIFS(COMPONENTES!$U$7:$U$106,COMPONENTES!$B$7:$B$106,"A2",COMPONENTES!$R$7:$R$106,"Principal")</x:f>
        <x:v>0</x:v>
      </x:c>
      <x:c r="F9" s="13" t="str">
        <x:v>Principal; revisar con R</x:v>
      </x:c>
    </x:row>
    <x:row r="10">
      <x:c r="A10" s="13" t="str">
        <x:v>B</x:v>
      </x:c>
      <x:c r="B10" s="13" t="str">
        <x:v>Servicios ecosistémicos y valores culturales</x:v>
      </x:c>
      <x:c r="C10" s="32" t="n">
        <x:f>SUMIFS(SERVICIOS_B!$AD$7:$AD$106,SERVICIOS_B!$Z$7:$Z$106,"Principal")</x:f>
        <x:v>0</x:v>
      </x:c>
      <x:c r="D10" s="32" t="n">
        <x:f>SUMIFS(SERVICIOS_B!$AE$7:$AE$106,SERVICIOS_B!$Z$7:$Z$106,"Principal")</x:f>
        <x:v>0</x:v>
      </x:c>
      <x:c r="E10" s="32" t="n">
        <x:f>SUMIFS(SERVICIOS_B!$AF$7:$AF$106,SERVICIOS_B!$Z$7:$Z$106,"Principal")</x:f>
        <x:v>0</x:v>
      </x:c>
      <x:c r="F10" s="13" t="str">
        <x:v>Principal; descontar lo restaurado</x:v>
      </x:c>
    </x:row>
    <x:row r="11">
      <x:c r="A11" s="13" t="str">
        <x:v>C</x:v>
      </x:c>
      <x:c r="B11" s="13" t="str">
        <x:v>Respuesta pública incremental</x:v>
      </x:c>
      <x:c r="C11" s="32" t="n">
        <x:f>SUMIFS(COMPONENTES!$S$7:$S$106,COMPONENTES!$B$7:$B$106,"C",COMPONENTES!$R$7:$R$106,"Principal")</x:f>
        <x:v>0</x:v>
      </x:c>
      <x:c r="D11" s="32" t="n">
        <x:f>SUMIFS(COMPONENTES!$T$7:$T$106,COMPONENTES!$B$7:$B$106,"C",COMPONENTES!$R$7:$R$106,"Principal")</x:f>
        <x:v>0</x:v>
      </x:c>
      <x:c r="E11" s="32" t="n">
        <x:f>SUMIFS(COMPONENTES!$U$7:$U$106,COMPONENTES!$B$7:$B$106,"C",COMPONENTES!$R$7:$R$106,"Principal")</x:f>
        <x:v>0</x:v>
      </x:c>
      <x:c r="F11" s="13" t="str">
        <x:v>Principal</x:v>
      </x:c>
    </x:row>
    <x:row r="12">
      <x:c r="A12" s="13" t="str">
        <x:v>D</x:v>
      </x:c>
      <x:c r="B12" s="13" t="str">
        <x:v>Rescate, rehabilitación y cuidado</x:v>
      </x:c>
      <x:c r="C12" s="32" t="n">
        <x:f>SUMIFS(COMPONENTES!$S$7:$S$106,COMPONENTES!$B$7:$B$106,"D",COMPONENTES!$R$7:$R$106,"Principal")</x:f>
        <x:v>0</x:v>
      </x:c>
      <x:c r="D12" s="32" t="n">
        <x:f>SUMIFS(COMPONENTES!$T$7:$T$106,COMPONENTES!$B$7:$B$106,"D",COMPONENTES!$R$7:$R$106,"Principal")</x:f>
        <x:v>0</x:v>
      </x:c>
      <x:c r="E12" s="32" t="n">
        <x:f>SUMIFS(COMPONENTES!$U$7:$U$106,COMPONENTES!$B$7:$B$106,"D",COMPONENTES!$R$7:$R$106,"Principal")</x:f>
        <x:v>0</x:v>
      </x:c>
      <x:c r="F12" s="13" t="str">
        <x:v>Principal</x:v>
      </x:c>
    </x:row>
    <x:row r="13">
      <x:c r="A13" s="13" t="str">
        <x:v>E</x:v>
      </x:c>
      <x:c r="B13" s="13" t="str">
        <x:v>Efectos conexos demostrados</x:v>
      </x:c>
      <x:c r="C13" s="32" t="n">
        <x:f>SUMIFS(COMPONENTES!$S$7:$S$106,COMPONENTES!$B$7:$B$106,"E",COMPONENTES!$R$7:$R$106,"Principal")</x:f>
        <x:v>0</x:v>
      </x:c>
      <x:c r="D13" s="32" t="n">
        <x:f>SUMIFS(COMPONENTES!$T$7:$T$106,COMPONENTES!$B$7:$B$106,"E",COMPONENTES!$R$7:$R$106,"Principal")</x:f>
        <x:v>0</x:v>
      </x:c>
      <x:c r="E13" s="32" t="n">
        <x:f>SUMIFS(COMPONENTES!$U$7:$U$106,COMPONENTES!$B$7:$B$106,"E",COMPONENTES!$R$7:$R$106,"Principal")</x:f>
        <x:v>0</x:v>
      </x:c>
      <x:c r="F13" s="13" t="str">
        <x:v>Principal</x:v>
      </x:c>
    </x:row>
    <x:row r="14">
      <x:c r="A14" s="13" t="str">
        <x:v>R</x:v>
      </x:c>
      <x:c r="B14" s="13" t="str">
        <x:v>Restauración o equivalencia</x:v>
      </x:c>
      <x:c r="C14" s="32" t="n">
        <x:f>SUMIFS(COMPONENTES!$S$7:$S$106,COMPONENTES!$B$7:$B$106,"R",COMPONENTES!$R$7:$R$106,"Principal")</x:f>
        <x:v>0</x:v>
      </x:c>
      <x:c r="D14" s="32" t="n">
        <x:f>SUMIFS(COMPONENTES!$T$7:$T$106,COMPONENTES!$B$7:$B$106,"R",COMPONENTES!$R$7:$R$106,"Principal")</x:f>
        <x:v>0</x:v>
      </x:c>
      <x:c r="E14" s="32" t="n">
        <x:f>SUMIFS(COMPONENTES!$U$7:$U$106,COMPONENTES!$B$7:$B$106,"R",COMPONENTES!$R$7:$R$106,"Principal")</x:f>
        <x:v>0</x:v>
      </x:c>
      <x:c r="F14" s="13" t="str">
        <x:v>Separada del subtotal</x:v>
      </x:c>
    </x:row>
    <x:row r="15">
      <x:c r="A15" s="34"/>
      <x:c r="B15" s="34"/>
      <x:c r="C15" s="34"/>
      <x:c r="D15" s="34"/>
      <x:c r="E15" s="34"/>
      <x:c r="F15" s="34"/>
    </x:row>
    <x:row r="16">
      <x:c r="A16" s="13" t="str">
        <x:v>Subtotal de daños</x:v>
      </x:c>
      <x:c r="B16" s="13" t="str">
        <x:v>A1+A2+B+C+D+E</x:v>
      </x:c>
      <x:c r="C16" s="32" t="str">
        <x:f>IF(CASO!$E$9="Sí",SUM(C8:C13),"")</x:f>
      </x:c>
      <x:c r="D16" s="32" t="str">
        <x:f>IF(CASO!$E$9="Sí",SUM(D8:D13),"")</x:f>
      </x:c>
      <x:c r="E16" s="32" t="str">
        <x:f>IF(CASO!$E$9="Sí",SUM(E8:E13),"")</x:f>
      </x:c>
      <x:c r="F16" s="13" t="str">
        <x:v>Solo si la agregación fue autorizada</x:v>
      </x:c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 ht="22" customHeight="1">
      <x:c r="A19" s="10" t="str">
        <x:v>Resultados que se mantienen separados</x:v>
      </x:c>
      <x:c r="B19" s="10" t="str">
        <x:v>Resultados que se mantienen separados</x:v>
      </x:c>
      <x:c r="C19" s="10" t="str">
        <x:v>Resultados que se mantienen separados</x:v>
      </x:c>
      <x:c r="D19" s="10" t="str">
        <x:v>Resultados que se mantienen separados</x:v>
      </x:c>
      <x:c r="E19" s="10" t="str">
        <x:v>Resultados que se mantienen separados</x:v>
      </x:c>
      <x:c r="F19" s="10" t="str">
        <x:v>Resultados que se mantienen separados</x:v>
      </x:c>
    </x:row>
    <x:row r="20">
      <x:c r="A20" s="13" t="str">
        <x:v>Exploratorio</x:v>
      </x:c>
      <x:c r="B20" s="13" t="str">
        <x:v>Líneas D/E o comparabilidad baja</x:v>
      </x:c>
      <x:c r="C20" s="32" t="n">
        <x:f>SUMIFS(COMPONENTES!$S$7:$S$106,COMPONENTES!$R$7:$R$106,"Exploratorio")+SUMIFS(SERVICIOS_B!$AD$7:$AD$106,SERVICIOS_B!$Z$7:$Z$106,"Exploratorio")</x:f>
        <x:v>0</x:v>
      </x:c>
      <x:c r="D20" s="32" t="n">
        <x:f>SUMIFS(COMPONENTES!$T$7:$T$106,COMPONENTES!$R$7:$R$106,"Exploratorio")+SUMIFS(SERVICIOS_B!$AE$7:$AE$106,SERVICIOS_B!$Z$7:$Z$106,"Exploratorio")</x:f>
        <x:v>0</x:v>
      </x:c>
      <x:c r="E20" s="32" t="n">
        <x:f>SUMIFS(COMPONENTES!$U$7:$U$106,COMPONENTES!$R$7:$R$106,"Exploratorio")+SUMIFS(SERVICIOS_B!$AF$7:$AF$106,SERVICIOS_B!$Z$7:$Z$106,"Exploratorio")</x:f>
        <x:v>0</x:v>
      </x:c>
      <x:c r="F20" s="13" t="str">
        <x:v>No integrar sin fortalecer evidencia</x:v>
      </x:c>
    </x:row>
    <x:row r="21">
      <x:c r="A21" s="13" t="str">
        <x:v>Observado</x:v>
      </x:c>
      <x:c r="B21" s="13" t="str">
        <x:v>Componentes principales con dato observado</x:v>
      </x:c>
      <x:c r="C21" s="32" t="n">
        <x:f>SUMIFS(COMPONENTES!$S$7:$S$106,COMPONENTES!$R$7:$R$106,"Principal",COMPONENTES!$F$7:$F$106,"Observado")+SUMIFS(SERVICIOS_B!$AD$7:$AD$106,SERVICIOS_B!$Z$7:$Z$106,"Principal",SERVICIOS_B!$G$7:$G$106,"Observado")</x:f>
        <x:v>0</x:v>
      </x:c>
      <x:c r="D21" s="32" t="n">
        <x:f>SUMIFS(COMPONENTES!$T$7:$T$106,COMPONENTES!$R$7:$R$106,"Principal",COMPONENTES!$F$7:$F$106,"Observado")+SUMIFS(SERVICIOS_B!$AE$7:$AE$106,SERVICIOS_B!$Z$7:$Z$106,"Principal",SERVICIOS_B!$G$7:$G$106,"Observado")</x:f>
        <x:v>0</x:v>
      </x:c>
      <x:c r="E21" s="32" t="n">
        <x:f>SUMIFS(COMPONENTES!$U$7:$U$106,COMPONENTES!$R$7:$R$106,"Principal",COMPONENTES!$F$7:$F$106,"Observado")+SUMIFS(SERVICIOS_B!$AF$7:$AF$106,SERVICIOS_B!$Z$7:$Z$106,"Principal",SERVICIOS_B!$G$7:$G$106,"Observado")</x:f>
        <x:v>0</x:v>
      </x:c>
      <x:c r="F21" s="13" t="str">
        <x:v>Hechos y costos del caso</x:v>
      </x:c>
    </x:row>
    <x:row r="22">
      <x:c r="A22" s="13" t="str">
        <x:v>Estimado</x:v>
      </x:c>
      <x:c r="B22" s="13" t="str">
        <x:v>Componentes principales con dato estimado</x:v>
      </x:c>
      <x:c r="C22" s="32" t="n">
        <x:f>SUMIFS(COMPONENTES!$S$7:$S$106,COMPONENTES!$R$7:$R$106,"Principal",COMPONENTES!$F$7:$F$106,"Estimado")+SUMIFS(SERVICIOS_B!$AD$7:$AD$106,SERVICIOS_B!$Z$7:$Z$106,"Principal",SERVICIOS_B!$G$7:$G$106,"Estimado")</x:f>
        <x:v>0</x:v>
      </x:c>
      <x:c r="D22" s="32" t="n">
        <x:f>SUMIFS(COMPONENTES!$T$7:$T$106,COMPONENTES!$R$7:$R$106,"Principal",COMPONENTES!$F$7:$F$106,"Estimado")+SUMIFS(SERVICIOS_B!$AE$7:$AE$106,SERVICIOS_B!$Z$7:$Z$106,"Principal",SERVICIOS_B!$G$7:$G$106,"Estimado")</x:f>
        <x:v>0</x:v>
      </x:c>
      <x:c r="E22" s="32" t="n">
        <x:f>SUMIFS(COMPONENTES!$U$7:$U$106,COMPONENTES!$R$7:$R$106,"Principal",COMPONENTES!$F$7:$F$106,"Estimado")+SUMIFS(SERVICIOS_B!$AF$7:$AF$106,SERVICIOS_B!$Z$7:$Z$106,"Principal",SERVICIOS_B!$G$7:$G$106,"Estimado")</x:f>
        <x:v>0</x:v>
      </x:c>
      <x:c r="F22" s="13" t="str">
        <x:v>Referencias, transferencias o proyecciones</x:v>
      </x:c>
    </x:row>
    <x:row r="23">
      <x:c r="A23" s="34"/>
      <x:c r="B23" s="34"/>
      <x:c r="C23" s="34"/>
      <x:c r="D23" s="34"/>
      <x:c r="E23" s="34"/>
      <x:c r="F23" s="34"/>
    </x:row>
    <x:row r="24">
      <x:c r="A24" s="34"/>
      <x:c r="B24" s="34"/>
      <x:c r="C24" s="34"/>
      <x:c r="D24" s="34"/>
      <x:c r="E24" s="34"/>
      <x:c r="F24" s="34"/>
    </x:row>
    <x:row r="25" ht="22" customHeight="1">
      <x:c r="A25" s="10" t="str">
        <x:v>Lectura de la capa G y daños no monetarios</x:v>
      </x:c>
      <x:c r="B25" s="10" t="str">
        <x:v>Lectura de la capa G y daños no monetarios</x:v>
      </x:c>
      <x:c r="C25" s="10" t="str">
        <x:v>Lectura de la capa G y daños no monetarios</x:v>
      </x:c>
      <x:c r="D25" s="10" t="str">
        <x:v>Lectura de la capa G y daños no monetarios</x:v>
      </x:c>
      <x:c r="E25" s="10" t="str">
        <x:v>Lectura de la capa G y daños no monetarios</x:v>
      </x:c>
      <x:c r="F25" s="10" t="str">
        <x:v>Lectura de la capa G y daños no monetarios</x:v>
      </x:c>
    </x:row>
    <x:row r="26">
      <x:c r="A26" s="13" t="str">
        <x:v>G</x:v>
      </x:c>
      <x:c r="B26" s="13" t="str">
        <x:v>Consulte la hoja GRAVEDAD. No se incluye en las sumas monetarias.</x:v>
      </x:c>
      <x:c r="C26" s="13"/>
      <x:c r="D26" s="13"/>
      <x:c r="E26" s="13"/>
      <x:c r="F26" s="13" t="str">
        <x:v>Capa separada</x:v>
      </x:c>
    </x:row>
    <x:row r="27">
      <x:c r="A27" s="13" t="str">
        <x:v>No monetizado</x:v>
      </x:c>
      <x:c r="B27" s="13" t="str">
        <x:v>Consulte los indicadores registrados en GRAVEDAD.</x:v>
      </x:c>
      <x:c r="C27" s="13"/>
      <x:c r="D27" s="13"/>
      <x:c r="E27" s="13"/>
      <x:c r="F27" s="13" t="str">
        <x:v>Debe aparecer en el informe</x:v>
      </x:c>
    </x:row>
    <x:row r="28">
      <x:c r="A28" s="13" t="str">
        <x:v>Controles</x:v>
      </x:c>
      <x:c r="B28" s="13" t="str">
        <x:v>Consulte REVISION antes de aprobar una versión.</x:v>
      </x:c>
      <x:c r="C28" s="13"/>
      <x:c r="D28" s="13"/>
      <x:c r="E28" s="13"/>
      <x:c r="F28" s="13" t="str">
        <x:v>La plantilla no sustituye la revisión profesional</x:v>
      </x:c>
    </x:row>
    <x:row r="30">
      <x:c r="A30" s="44" t="str">
        <x:v>Cierre monetario con multas</x:v>
      </x:c>
      <x:c r="B30" s="44"/>
      <x:c r="C30" s="44"/>
      <x:c r="D30" s="44"/>
      <x:c r="E30" s="44"/>
      <x:c r="F30" s="44"/>
    </x:row>
    <x:row r="31">
      <x:c r="A31" s="48" t="str">
        <x:v>Concepto</x:v>
      </x:c>
      <x:c r="B31" s="48" t="str">
        <x:v>Tratamiento</x:v>
      </x:c>
      <x:c r="C31" s="48" t="str">
        <x:v>Bajo</x:v>
      </x:c>
      <x:c r="D31" s="48" t="str">
        <x:v>Central</x:v>
      </x:c>
      <x:c r="E31" s="48" t="str">
        <x:v>Alto</x:v>
      </x:c>
      <x:c r="F31" s="48" t="str">
        <x:v>Observación</x:v>
      </x:c>
    </x:row>
    <x:row r="32">
      <x:c r="A32" s="50" t="str">
        <x:v>Total compatible VDTC</x:v>
      </x:c>
      <x:c r="B32" s="50" t="str">
        <x:v>Daños + restauración R</x:v>
      </x:c>
      <x:c r="C32" s="66" t="str">
        <x:f>IF(CASO!$E$9="Sí",C16+C14,"")</x:f>
      </x:c>
      <x:c r="D32" s="66" t="str">
        <x:f>IF(CASO!$E$9="Sí",D16+D14,"")</x:f>
      </x:c>
      <x:c r="E32" s="66" t="str">
        <x:f>IF(CASO!$E$9="Sí",E16+E14,"")</x:f>
      </x:c>
      <x:c r="F32" s="50" t="str">
        <x:v>Solo si la agregación fue autorizada</x:v>
      </x:c>
    </x:row>
    <x:row r="33">
      <x:c r="A33" s="50" t="str">
        <x:v>Multas Ley 7317</x:v>
      </x:c>
      <x:c r="B33" s="50" t="str">
        <x:v>Pena monetaria separada</x:v>
      </x:c>
      <x:c r="C33" s="66" t="n">
        <x:f>MULTAS_7317!H5</x:f>
        <x:v>0</x:v>
      </x:c>
      <x:c r="D33" s="66" t="n">
        <x:f>MULTAS_7317!H6</x:f>
        <x:v>0</x:v>
      </x:c>
      <x:c r="E33" s="66" t="n">
        <x:f>MULTAS_7317!H7</x:f>
        <x:v>0</x:v>
      </x:c>
      <x:c r="F33" s="50" t="str">
        <x:v>Usa MULTAS_7317 y la conversión a la moneda del caso</x:v>
      </x:c>
    </x:row>
    <x:row r="34">
      <x:c r="A34" s="75" t="str">
        <x:v>TOTAL FINAL CON MULTAS</x:v>
      </x:c>
      <x:c r="B34" s="75" t="str">
        <x:v>VDTC compatible + multas</x:v>
      </x:c>
      <x:c r="C34" s="76" t="str">
        <x:f>IF(CASO!$E$9="Sí",SUM(C8:C14)+MULTAS_7317!H5,"")</x:f>
      </x:c>
      <x:c r="D34" s="76" t="str">
        <x:f>IF(CASO!$E$9="Sí",SUM(D8:D14)+MULTAS_7317!H6,"")</x:f>
      </x:c>
      <x:c r="E34" s="76" t="str">
        <x:f>IF(CASO!$E$9="Sí",SUM(E8:E14)+MULTAS_7317!H7,"")</x:f>
      </x:c>
      <x:c r="F34" s="75" t="str">
        <x:v>Mantiene visible la separación metodológica</x:v>
      </x:c>
    </x:row>
  </x:sheetData>
  <x:mergeCells>
    <x:mergeCell ref="A2:F2"/>
    <x:mergeCell ref="A3:F3"/>
    <x:mergeCell ref="A19:F19"/>
    <x:mergeCell ref="A25:F25"/>
    <x:mergeCell ref="A30:F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4" hidden="0" customWidth="1"/>
    <x:col min="4" max="4" width="30" hidden="0" customWidth="1"/>
    <x:col min="5" max="5" width="22" hidden="0" customWidth="1"/>
    <x:col min="6" max="6" width="4" hidden="0" customWidth="1"/>
  </x:cols>
  <x:sheetData>
    <x:row r="2" ht="28" customHeight="1">
      <x:c r="A2" s="3" t="str">
        <x:v>Datos del caso y cadena causal</x:v>
      </x:c>
      <x:c r="B2" s="3" t="str">
        <x:v>Datos del caso y cadena causal</x:v>
      </x:c>
      <x:c r="C2" s="3" t="str">
        <x:v>Datos del caso y cadena causal</x:v>
      </x:c>
      <x:c r="D2" s="3" t="str">
        <x:v>Datos del caso y cadena causal</x:v>
      </x:c>
      <x:c r="E2" s="3" t="str">
        <x:v>Datos del caso y cadena causal</x:v>
      </x:c>
      <x:c r="F2" s="3" t="str">
        <x:v>Datos del caso y cadena causal</x:v>
      </x:c>
    </x:row>
    <x:row r="3" ht="30" customHeight="1">
      <x:c r="A3" s="7" t="str">
        <x:v>Las celdas amarillas son entradas. Los datos del caso deben sustituir referencias históricas cuando sean más específicos.</x:v>
      </x:c>
      <x:c r="B3" s="7" t="str">
        <x:v>Las celdas amarillas son entradas. Los datos del caso deben sustituir referencias históricas cuando sean más específicos.</x:v>
      </x:c>
      <x:c r="C3" s="7" t="str">
        <x:v>Las celdas amarillas son entradas. Los datos del caso deben sustituir referencias históricas cuando sean más específicos.</x:v>
      </x:c>
      <x:c r="D3" s="7" t="str">
        <x:v>Las celdas amarillas son entradas. Los datos del caso deben sustituir referencias históricas cuando sean más específicos.</x:v>
      </x:c>
      <x:c r="E3" s="7" t="str">
        <x:v>Las celdas amarillas son entradas. Los datos del caso deben sustituir referencias históricas cuando sean más específicos.</x:v>
      </x:c>
      <x:c r="F3" s="7" t="str">
        <x:v>Las celdas amarillas son entradas. Los datos del caso deben sustituir referencias históricas cuando sean más específicos.</x:v>
      </x:c>
    </x:row>
    <x:row r="4">
      <x:c r="A4" s="34"/>
      <x:c r="B4" s="34"/>
      <x:c r="C4" s="34"/>
      <x:c r="D4" s="34"/>
      <x:c r="E4" s="34"/>
      <x:c r="F4" s="34"/>
    </x:row>
    <x:row r="5" ht="22" customHeight="1">
      <x:c r="A5" s="10" t="str">
        <x:v>Identificación</x:v>
      </x:c>
      <x:c r="B5" s="10" t="str">
        <x:v>Identificación</x:v>
      </x:c>
      <x:c r="C5" s="34"/>
      <x:c r="D5" s="10" t="str">
        <x:v>Supuestos económicos</x:v>
      </x:c>
      <x:c r="E5" s="10" t="str">
        <x:v>Supuestos económicos</x:v>
      </x:c>
      <x:c r="F5" s="34"/>
    </x:row>
    <x:row r="6">
      <x:c r="A6" s="13" t="str">
        <x:v>Código del caso</x:v>
      </x:c>
      <x:c r="B6" s="21" t="str"/>
      <x:c r="C6" s="34"/>
      <x:c r="D6" s="13" t="str">
        <x:v>Tasa escenario bajo</x:v>
      </x:c>
      <x:c r="E6" s="24" t="n">
        <x:v>0.05</x:v>
      </x:c>
      <x:c r="F6" s="34"/>
    </x:row>
    <x:row r="7">
      <x:c r="A7" s="13" t="str">
        <x:v>Autoridad o institución</x:v>
      </x:c>
      <x:c r="B7" s="21" t="str"/>
      <x:c r="C7" s="34"/>
      <x:c r="D7" s="13" t="str">
        <x:v>Tasa escenario central</x:v>
      </x:c>
      <x:c r="E7" s="24" t="n">
        <x:v>0.03</x:v>
      </x:c>
      <x:c r="F7" s="34"/>
    </x:row>
    <x:row r="8">
      <x:c r="A8" s="13" t="str">
        <x:v>Fecha del evento</x:v>
      </x:c>
      <x:c r="B8" s="22"/>
      <x:c r="C8" s="34"/>
      <x:c r="D8" s="13" t="str">
        <x:v>Tasa escenario alto</x:v>
      </x:c>
      <x:c r="E8" s="24" t="n">
        <x:v>0.01</x:v>
      </x:c>
      <x:c r="F8" s="34"/>
    </x:row>
    <x:row r="9">
      <x:c r="A9" s="13" t="str">
        <x:v>Lugar</x:v>
      </x:c>
      <x:c r="B9" s="21" t="str"/>
      <x:c r="C9" s="34"/>
      <x:c r="D9" s="13" t="str">
        <x:v>Autorizar subtotal</x:v>
      </x:c>
      <x:c r="E9" s="21" t="str">
        <x:v>No</x:v>
      </x:c>
      <x:c r="F9" s="34"/>
    </x:row>
    <x:row r="10">
      <x:c r="A10" s="13" t="str">
        <x:v>Conducta</x:v>
      </x:c>
      <x:c r="B10" s="21" t="str"/>
      <x:c r="C10" s="34"/>
      <x:c r="D10" s="13" t="str">
        <x:v>Año base de precios</x:v>
      </x:c>
      <x:c r="E10" s="21" t="n">
        <x:v>2026</x:v>
      </x:c>
      <x:c r="F10" s="34"/>
    </x:row>
    <x:row r="11">
      <x:c r="A11" s="13" t="str">
        <x:v>Responsable</x:v>
      </x:c>
      <x:c r="B11" s="21" t="str"/>
      <x:c r="C11" s="34"/>
      <x:c r="D11" s="13" t="str">
        <x:v>Horizonte máximo en años</x:v>
      </x:c>
      <x:c r="E11" s="21" t="n">
        <x:v>50</x:v>
      </x:c>
      <x:c r="F11" s="34"/>
    </x:row>
    <x:row r="12">
      <x:c r="A12" s="13" t="str">
        <x:v>Versión VTC</x:v>
      </x:c>
      <x:c r="B12" s="21" t="str">
        <x:v>VTC-1</x:v>
      </x:c>
      <x:c r="C12" s="34"/>
      <x:c r="D12" s="34"/>
      <x:c r="E12" s="34"/>
      <x:c r="F12" s="34"/>
    </x:row>
    <x:row r="13">
      <x:c r="A13" s="13" t="str">
        <x:v>Moneda</x:v>
      </x:c>
      <x:c r="B13" s="21" t="str">
        <x:v>CRC</x:v>
      </x:c>
      <x:c r="C13" s="34"/>
      <x:c r="D13" s="34"/>
      <x:c r="E13" s="34"/>
      <x:c r="F13" s="34"/>
    </x:row>
    <x:row r="14">
      <x:c r="A14" s="34"/>
      <x:c r="B14" s="34"/>
      <x:c r="C14" s="34"/>
      <x:c r="D14" s="34"/>
      <x:c r="E14" s="34"/>
      <x:c r="F14" s="34"/>
    </x:row>
    <x:row r="15" ht="22" customHeight="1">
      <x:c r="A15" s="10" t="str">
        <x:v>Cadena causal</x:v>
      </x:c>
      <x:c r="B15" s="10" t="str">
        <x:v>Cadena causal</x:v>
      </x:c>
      <x:c r="C15" s="34"/>
      <x:c r="D15" s="34"/>
      <x:c r="E15" s="34"/>
      <x:c r="F15" s="34"/>
    </x:row>
    <x:row r="16">
      <x:c r="A16" s="13" t="str">
        <x:v>Hecho probado</x:v>
      </x:c>
      <x:c r="B16" s="23" t="str"/>
      <x:c r="C16" s="34"/>
      <x:c r="D16" s="34"/>
      <x:c r="E16" s="34"/>
      <x:c r="F16" s="34"/>
    </x:row>
    <x:row r="17">
      <x:c r="A17" s="13" t="str">
        <x:v>Receptor afectado</x:v>
      </x:c>
      <x:c r="B17" s="23" t="str"/>
      <x:c r="C17" s="34"/>
      <x:c r="D17" s="34"/>
      <x:c r="E17" s="34"/>
      <x:c r="F17" s="34"/>
    </x:row>
    <x:row r="18">
      <x:c r="A18" s="13" t="str">
        <x:v>Línea base o contrafactual</x:v>
      </x:c>
      <x:c r="B18" s="23" t="str"/>
      <x:c r="C18" s="34"/>
      <x:c r="D18" s="34"/>
      <x:c r="E18" s="34"/>
      <x:c r="F18" s="34"/>
    </x:row>
    <x:row r="19">
      <x:c r="A19" s="13" t="str">
        <x:v>Cambio atribuible</x:v>
      </x:c>
      <x:c r="B19" s="23" t="str"/>
      <x:c r="C19" s="34"/>
      <x:c r="D19" s="34"/>
      <x:c r="E19" s="34"/>
      <x:c r="F19" s="34"/>
    </x:row>
    <x:row r="20">
      <x:c r="A20" s="13" t="str">
        <x:v>Consecuencia y respuesta</x:v>
      </x:c>
      <x:c r="B20" s="23" t="str"/>
      <x:c r="C20" s="34"/>
      <x:c r="D20" s="34"/>
      <x:c r="E20" s="34"/>
      <x:c r="F20" s="34"/>
    </x:row>
  </x:sheetData>
  <x:mergeCells>
    <x:mergeCell ref="A2:F2"/>
    <x:mergeCell ref="A3:F3"/>
    <x:mergeCell ref="A5:B5"/>
    <x:mergeCell ref="A15:B15"/>
    <x:mergeCell ref="D5:E5"/>
  </x:mergeCells>
  <x:dataValidations count="1">
    <x:dataValidation type="list" sqref="E9">
      <x:formula1>"No,Sí"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5" hidden="0" customWidth="1"/>
    <x:col min="4" max="4" width="18" hidden="0" customWidth="1"/>
    <x:col min="5" max="5" width="27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5" hidden="0" customWidth="1"/>
    <x:col min="14" max="14" width="13" hidden="0" customWidth="1"/>
    <x:col min="15" max="15" width="11" hidden="0" customWidth="1"/>
    <x:col min="16" max="16" width="20" hidden="0" customWidth="1"/>
    <x:col min="17" max="17" width="38" hidden="0" customWidth="1"/>
    <x:col min="18" max="18" width="17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2" ht="28" customHeight="1">
      <x:c r="A2" s="3" t="str">
        <x:v>Componentes monetarios A1 A2 C D E y R</x:v>
      </x:c>
      <x:c r="B2" s="3" t="str">
        <x:v>Componentes monetarios A1 A2 C D E y R</x:v>
      </x:c>
      <x:c r="C2" s="3" t="str">
        <x:v>Componentes monetarios A1 A2 C D E y R</x:v>
      </x:c>
      <x:c r="D2" s="3" t="str">
        <x:v>Componentes monetarios A1 A2 C D E y R</x:v>
      </x:c>
      <x:c r="E2" s="3" t="str">
        <x:v>Componentes monetarios A1 A2 C D E y R</x:v>
      </x:c>
      <x:c r="F2" s="3" t="str">
        <x:v>Componentes monetarios A1 A2 C D E y R</x:v>
      </x:c>
      <x:c r="G2" s="3" t="str">
        <x:v>Componentes monetarios A1 A2 C D E y R</x:v>
      </x:c>
      <x:c r="H2" s="3" t="str">
        <x:v>Componentes monetarios A1 A2 C D E y R</x:v>
      </x:c>
      <x:c r="I2" s="3" t="str">
        <x:v>Componentes monetarios A1 A2 C D E y R</x:v>
      </x:c>
      <x:c r="J2" s="3" t="str">
        <x:v>Componentes monetarios A1 A2 C D E y R</x:v>
      </x:c>
      <x:c r="K2" s="3" t="str">
        <x:v>Componentes monetarios A1 A2 C D E y R</x:v>
      </x:c>
      <x:c r="L2" s="3" t="str">
        <x:v>Componentes monetarios A1 A2 C D E y R</x:v>
      </x:c>
      <x:c r="M2" s="3" t="str">
        <x:v>Componentes monetarios A1 A2 C D E y R</x:v>
      </x:c>
      <x:c r="N2" s="3" t="str">
        <x:v>Componentes monetarios A1 A2 C D E y R</x:v>
      </x:c>
      <x:c r="O2" s="3" t="str">
        <x:v>Componentes monetarios A1 A2 C D E y R</x:v>
      </x:c>
      <x:c r="P2" s="3" t="str">
        <x:v>Componentes monetarios A1 A2 C D E y R</x:v>
      </x:c>
      <x:c r="Q2" s="3" t="str">
        <x:v>Componentes monetarios A1 A2 C D E y R</x:v>
      </x:c>
      <x:c r="R2" s="3" t="str">
        <x:v>Componentes monetarios A1 A2 C D E y R</x:v>
      </x:c>
      <x:c r="S2" s="3" t="str">
        <x:v>Componentes monetarios A1 A2 C D E y R</x:v>
      </x:c>
      <x:c r="T2" s="3" t="str">
        <x:v>Componentes monetarios A1 A2 C D E y R</x:v>
      </x:c>
      <x:c r="U2" s="3" t="str">
        <x:v>Componentes monetarios A1 A2 C D E y R</x:v>
      </x:c>
    </x:row>
    <x:row r="3" ht="30" customHeight="1">
      <x:c r="A3" s="7" t="str">
        <x:v>Una fila representa una pérdida, costo o medida. R se informa separada y no se agrega automáticamente al daño.</x:v>
      </x:c>
      <x:c r="B3" s="7" t="str">
        <x:v>Una fila representa una pérdida, costo o medida. R se informa separada y no se agrega automáticamente al daño.</x:v>
      </x:c>
      <x:c r="C3" s="7" t="str">
        <x:v>Una fila representa una pérdida, costo o medida. R se informa separada y no se agrega automáticamente al daño.</x:v>
      </x:c>
      <x:c r="D3" s="7" t="str">
        <x:v>Una fila representa una pérdida, costo o medida. R se informa separada y no se agrega automáticamente al daño.</x:v>
      </x:c>
      <x:c r="E3" s="7" t="str">
        <x:v>Una fila representa una pérdida, costo o medida. R se informa separada y no se agrega automáticamente al daño.</x:v>
      </x:c>
      <x:c r="F3" s="7" t="str">
        <x:v>Una fila representa una pérdida, costo o medida. R se informa separada y no se agrega automáticamente al daño.</x:v>
      </x:c>
      <x:c r="G3" s="7" t="str">
        <x:v>Una fila representa una pérdida, costo o medida. R se informa separada y no se agrega automáticamente al daño.</x:v>
      </x:c>
      <x:c r="H3" s="7" t="str">
        <x:v>Una fila representa una pérdida, costo o medida. R se informa separada y no se agrega automáticamente al daño.</x:v>
      </x:c>
      <x:c r="I3" s="7" t="str">
        <x:v>Una fila representa una pérdida, costo o medida. R se informa separada y no se agrega automáticamente al daño.</x:v>
      </x:c>
      <x:c r="J3" s="7" t="str">
        <x:v>Una fila representa una pérdida, costo o medida. R se informa separada y no se agrega automáticamente al daño.</x:v>
      </x:c>
      <x:c r="K3" s="7" t="str">
        <x:v>Una fila representa una pérdida, costo o medida. R se informa separada y no se agrega automáticamente al daño.</x:v>
      </x:c>
      <x:c r="L3" s="7" t="str">
        <x:v>Una fila representa una pérdida, costo o medida. R se informa separada y no se agrega automáticamente al daño.</x:v>
      </x:c>
      <x:c r="M3" s="7" t="str">
        <x:v>Una fila representa una pérdida, costo o medida. R se informa separada y no se agrega automáticamente al daño.</x:v>
      </x:c>
      <x:c r="N3" s="7" t="str">
        <x:v>Una fila representa una pérdida, costo o medida. R se informa separada y no se agrega automáticamente al daño.</x:v>
      </x:c>
      <x:c r="O3" s="7" t="str">
        <x:v>Una fila representa una pérdida, costo o medida. R se informa separada y no se agrega automáticamente al daño.</x:v>
      </x:c>
      <x:c r="P3" s="7" t="str">
        <x:v>Una fila representa una pérdida, costo o medida. R se informa separada y no se agrega automáticamente al daño.</x:v>
      </x:c>
      <x:c r="Q3" s="7" t="str">
        <x:v>Una fila representa una pérdida, costo o medida. R se informa separada y no se agrega automáticamente al daño.</x:v>
      </x:c>
      <x:c r="R3" s="7" t="str">
        <x:v>Una fila representa una pérdida, costo o medida. R se informa separada y no se agrega automáticamente al daño.</x:v>
      </x:c>
      <x:c r="S3" s="7" t="str">
        <x:v>Una fila representa una pérdida, costo o medida. R se informa separada y no se agrega automáticamente al daño.</x:v>
      </x:c>
      <x:c r="T3" s="7" t="str">
        <x:v>Una fila representa una pérdida, costo o medida. R se informa separada y no se agrega automáticamente al daño.</x:v>
      </x:c>
      <x:c r="U3" s="7" t="str">
        <x:v>Una fila representa una pérdida, costo o medida. R se informa separada y no se agrega automáticamente al daño.</x:v>
      </x:c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</x:row>
    <x:row r="6" ht="34" customHeight="1">
      <x:c r="A6" s="28" t="str">
        <x:v>ID</x:v>
      </x:c>
      <x:c r="B6" s="28" t="str">
        <x:v>Cuenta</x:v>
      </x:c>
      <x:c r="C6" s="28" t="str">
        <x:v>Concepto</x:v>
      </x:c>
      <x:c r="D6" s="28" t="str">
        <x:v>Unidad</x:v>
      </x:c>
      <x:c r="E6" s="28" t="str">
        <x:v>Tipo de fuente</x:v>
      </x:c>
      <x:c r="F6" s="28" t="str">
        <x:v>Estado del dato</x:v>
      </x:c>
      <x:c r="G6" s="28" t="str">
        <x:v>Cantidad baja</x:v>
      </x:c>
      <x:c r="H6" s="28" t="str">
        <x:v>Cantidad central</x:v>
      </x:c>
      <x:c r="I6" s="28" t="str">
        <x:v>Cantidad alta</x:v>
      </x:c>
      <x:c r="J6" s="28" t="str">
        <x:v>Valor unitario bajo</x:v>
      </x:c>
      <x:c r="K6" s="28" t="str">
        <x:v>Valor unitario central</x:v>
      </x:c>
      <x:c r="L6" s="28" t="str">
        <x:v>Valor unitario alto</x:v>
      </x:c>
      <x:c r="M6" s="28" t="str">
        <x:v>Año desde evento</x:v>
      </x:c>
      <x:c r="N6" s="28" t="str">
        <x:v>Nexo causal</x:v>
      </x:c>
      <x:c r="O6" s="28" t="str">
        <x:v>Evidencia</x:v>
      </x:c>
      <x:c r="P6" s="28" t="str">
        <x:v>Grupo doble conteo</x:v>
      </x:c>
      <x:c r="Q6" s="28" t="str">
        <x:v>Fuente</x:v>
      </x:c>
      <x:c r="R6" s="28" t="str">
        <x:v>Clasificación</x:v>
      </x:c>
      <x:c r="S6" s="28" t="str">
        <x:v>Resultado bajo</x:v>
      </x:c>
      <x:c r="T6" s="28" t="str">
        <x:v>Resultado central</x:v>
      </x:c>
      <x:c r="U6" s="28" t="str">
        <x:v>Resultado alto</x:v>
      </x:c>
    </x:row>
    <x:row r="7">
      <x:c r="A7" s="21"/>
      <x:c r="B7" s="21"/>
      <x:c r="C7" s="21"/>
      <x:c r="D7" s="21"/>
      <x:c r="E7" s="21"/>
      <x:c r="F7" s="21"/>
      <x:c r="G7" s="31"/>
      <x:c r="H7" s="31"/>
      <x:c r="I7" s="31"/>
      <x:c r="J7" s="31"/>
      <x:c r="K7" s="31"/>
      <x:c r="L7" s="31"/>
      <x:c r="M7" s="21"/>
      <x:c r="N7" s="21"/>
      <x:c r="O7" s="21"/>
      <x:c r="P7" s="21"/>
      <x:c r="Q7" s="21"/>
      <x:c r="R7" s="30" t="str">
        <x:f>IF(C7="","",IF(OR(N7&lt;&gt;"Sí",O7="X"),"Excluido",IF(OR(O7="D",O7="E"),"Exploratorio","Principal")))</x:f>
      </x:c>
      <x:c r="S7" s="32" t="n">
        <x:f>IF(OR(R7="",R7="Excluido"),0,G7*J7/(1+CASO!$E$6)^M7)</x:f>
        <x:v>0</x:v>
      </x:c>
      <x:c r="T7" s="32" t="n">
        <x:f>IF(OR(R7="",R7="Excluido"),0,H7*K7/(1+CASO!$E$7)^M7)</x:f>
        <x:v>0</x:v>
      </x:c>
      <x:c r="U7" s="32" t="n">
        <x:f>IF(OR(R7="",R7="Excluido"),0,I7*L7/(1+CASO!$E$8)^M7)</x:f>
        <x:v>0</x:v>
      </x:c>
    </x:row>
    <x:row r="8">
      <x:c r="A8" s="21"/>
      <x:c r="B8" s="21"/>
      <x:c r="C8" s="21"/>
      <x:c r="D8" s="21"/>
      <x:c r="E8" s="21"/>
      <x:c r="F8" s="21"/>
      <x:c r="G8" s="31"/>
      <x:c r="H8" s="31"/>
      <x:c r="I8" s="31"/>
      <x:c r="J8" s="31"/>
      <x:c r="K8" s="31"/>
      <x:c r="L8" s="31"/>
      <x:c r="M8" s="21"/>
      <x:c r="N8" s="21"/>
      <x:c r="O8" s="21"/>
      <x:c r="P8" s="21"/>
      <x:c r="Q8" s="21"/>
      <x:c r="R8" s="30" t="str">
        <x:f>IF(C8="","",IF(OR(N8&lt;&gt;"Sí",O8="X"),"Excluido",IF(OR(O8="D",O8="E"),"Exploratorio","Principal")))</x:f>
      </x:c>
      <x:c r="S8" s="32" t="n">
        <x:f>IF(OR(R8="",R8="Excluido"),0,G8*J8/(1+CASO!$E$6)^M8)</x:f>
        <x:v>0</x:v>
      </x:c>
      <x:c r="T8" s="32" t="n">
        <x:f>IF(OR(R8="",R8="Excluido"),0,H8*K8/(1+CASO!$E$7)^M8)</x:f>
        <x:v>0</x:v>
      </x:c>
      <x:c r="U8" s="32" t="n">
        <x:f>IF(OR(R8="",R8="Excluido"),0,I8*L8/(1+CASO!$E$8)^M8)</x:f>
        <x:v>0</x:v>
      </x:c>
    </x:row>
    <x:row r="9">
      <x:c r="A9" s="21"/>
      <x:c r="B9" s="21"/>
      <x:c r="C9" s="21"/>
      <x:c r="D9" s="21"/>
      <x:c r="E9" s="21"/>
      <x:c r="F9" s="21"/>
      <x:c r="G9" s="31"/>
      <x:c r="H9" s="31"/>
      <x:c r="I9" s="31"/>
      <x:c r="J9" s="31"/>
      <x:c r="K9" s="31"/>
      <x:c r="L9" s="31"/>
      <x:c r="M9" s="21"/>
      <x:c r="N9" s="21"/>
      <x:c r="O9" s="21"/>
      <x:c r="P9" s="21"/>
      <x:c r="Q9" s="21"/>
      <x:c r="R9" s="30" t="str">
        <x:f>IF(C9="","",IF(OR(N9&lt;&gt;"Sí",O9="X"),"Excluido",IF(OR(O9="D",O9="E"),"Exploratorio","Principal")))</x:f>
      </x:c>
      <x:c r="S9" s="32" t="n">
        <x:f>IF(OR(R9="",R9="Excluido"),0,G9*J9/(1+CASO!$E$6)^M9)</x:f>
        <x:v>0</x:v>
      </x:c>
      <x:c r="T9" s="32" t="n">
        <x:f>IF(OR(R9="",R9="Excluido"),0,H9*K9/(1+CASO!$E$7)^M9)</x:f>
        <x:v>0</x:v>
      </x:c>
      <x:c r="U9" s="32" t="n">
        <x:f>IF(OR(R9="",R9="Excluido"),0,I9*L9/(1+CASO!$E$8)^M9)</x:f>
        <x:v>0</x:v>
      </x:c>
    </x:row>
    <x:row r="10">
      <x:c r="A10" s="21"/>
      <x:c r="B10" s="21"/>
      <x:c r="C10" s="21"/>
      <x:c r="D10" s="21"/>
      <x:c r="E10" s="21"/>
      <x:c r="F10" s="21"/>
      <x:c r="G10" s="31"/>
      <x:c r="H10" s="31"/>
      <x:c r="I10" s="31"/>
      <x:c r="J10" s="31"/>
      <x:c r="K10" s="31"/>
      <x:c r="L10" s="31"/>
      <x:c r="M10" s="21"/>
      <x:c r="N10" s="21"/>
      <x:c r="O10" s="21"/>
      <x:c r="P10" s="21"/>
      <x:c r="Q10" s="21"/>
      <x:c r="R10" s="30" t="str">
        <x:f>IF(C10="","",IF(OR(N10&lt;&gt;"Sí",O10="X"),"Excluido",IF(OR(O10="D",O10="E"),"Exploratorio","Principal")))</x:f>
      </x:c>
      <x:c r="S10" s="32" t="n">
        <x:f>IF(OR(R10="",R10="Excluido"),0,G10*J10/(1+CASO!$E$6)^M10)</x:f>
        <x:v>0</x:v>
      </x:c>
      <x:c r="T10" s="32" t="n">
        <x:f>IF(OR(R10="",R10="Excluido"),0,H10*K10/(1+CASO!$E$7)^M10)</x:f>
        <x:v>0</x:v>
      </x:c>
      <x:c r="U10" s="32" t="n">
        <x:f>IF(OR(R10="",R10="Excluido"),0,I10*L10/(1+CASO!$E$8)^M10)</x:f>
        <x:v>0</x:v>
      </x:c>
    </x:row>
    <x:row r="11">
      <x:c r="A11" s="21"/>
      <x:c r="B11" s="21"/>
      <x:c r="C11" s="21"/>
      <x:c r="D11" s="21"/>
      <x:c r="E11" s="21"/>
      <x:c r="F11" s="21"/>
      <x:c r="G11" s="31"/>
      <x:c r="H11" s="31"/>
      <x:c r="I11" s="31"/>
      <x:c r="J11" s="31"/>
      <x:c r="K11" s="31"/>
      <x:c r="L11" s="31"/>
      <x:c r="M11" s="21"/>
      <x:c r="N11" s="21"/>
      <x:c r="O11" s="21"/>
      <x:c r="P11" s="21"/>
      <x:c r="Q11" s="21"/>
      <x:c r="R11" s="30" t="str">
        <x:f>IF(C11="","",IF(OR(N11&lt;&gt;"Sí",O11="X"),"Excluido",IF(OR(O11="D",O11="E"),"Exploratorio","Principal")))</x:f>
      </x:c>
      <x:c r="S11" s="32" t="n">
        <x:f>IF(OR(R11="",R11="Excluido"),0,G11*J11/(1+CASO!$E$6)^M11)</x:f>
        <x:v>0</x:v>
      </x:c>
      <x:c r="T11" s="32" t="n">
        <x:f>IF(OR(R11="",R11="Excluido"),0,H11*K11/(1+CASO!$E$7)^M11)</x:f>
        <x:v>0</x:v>
      </x:c>
      <x:c r="U11" s="32" t="n">
        <x:f>IF(OR(R11="",R11="Excluido"),0,I11*L11/(1+CASO!$E$8)^M11)</x:f>
        <x:v>0</x:v>
      </x:c>
    </x:row>
    <x:row r="12">
      <x:c r="A12" s="21"/>
      <x:c r="B12" s="21"/>
      <x:c r="C12" s="21"/>
      <x:c r="D12" s="21"/>
      <x:c r="E12" s="21"/>
      <x:c r="F12" s="21"/>
      <x:c r="G12" s="31"/>
      <x:c r="H12" s="31"/>
      <x:c r="I12" s="31"/>
      <x:c r="J12" s="31"/>
      <x:c r="K12" s="31"/>
      <x:c r="L12" s="31"/>
      <x:c r="M12" s="21"/>
      <x:c r="N12" s="21"/>
      <x:c r="O12" s="21"/>
      <x:c r="P12" s="21"/>
      <x:c r="Q12" s="21"/>
      <x:c r="R12" s="30" t="str">
        <x:f>IF(C12="","",IF(OR(N12&lt;&gt;"Sí",O12="X"),"Excluido",IF(OR(O12="D",O12="E"),"Exploratorio","Principal")))</x:f>
      </x:c>
      <x:c r="S12" s="32" t="n">
        <x:f>IF(OR(R12="",R12="Excluido"),0,G12*J12/(1+CASO!$E$6)^M12)</x:f>
        <x:v>0</x:v>
      </x:c>
      <x:c r="T12" s="32" t="n">
        <x:f>IF(OR(R12="",R12="Excluido"),0,H12*K12/(1+CASO!$E$7)^M12)</x:f>
        <x:v>0</x:v>
      </x:c>
      <x:c r="U12" s="32" t="n">
        <x:f>IF(OR(R12="",R12="Excluido"),0,I12*L12/(1+CASO!$E$8)^M12)</x:f>
        <x:v>0</x:v>
      </x:c>
    </x:row>
    <x:row r="13">
      <x:c r="A13" s="21"/>
      <x:c r="B13" s="21"/>
      <x:c r="C13" s="21"/>
      <x:c r="D13" s="21"/>
      <x:c r="E13" s="21"/>
      <x:c r="F13" s="21"/>
      <x:c r="G13" s="31"/>
      <x:c r="H13" s="31"/>
      <x:c r="I13" s="31"/>
      <x:c r="J13" s="31"/>
      <x:c r="K13" s="31"/>
      <x:c r="L13" s="31"/>
      <x:c r="M13" s="21"/>
      <x:c r="N13" s="21"/>
      <x:c r="O13" s="21"/>
      <x:c r="P13" s="21"/>
      <x:c r="Q13" s="21"/>
      <x:c r="R13" s="30" t="str">
        <x:f>IF(C13="","",IF(OR(N13&lt;&gt;"Sí",O13="X"),"Excluido",IF(OR(O13="D",O13="E"),"Exploratorio","Principal")))</x:f>
      </x:c>
      <x:c r="S13" s="32" t="n">
        <x:f>IF(OR(R13="",R13="Excluido"),0,G13*J13/(1+CASO!$E$6)^M13)</x:f>
        <x:v>0</x:v>
      </x:c>
      <x:c r="T13" s="32" t="n">
        <x:f>IF(OR(R13="",R13="Excluido"),0,H13*K13/(1+CASO!$E$7)^M13)</x:f>
        <x:v>0</x:v>
      </x:c>
      <x:c r="U13" s="32" t="n">
        <x:f>IF(OR(R13="",R13="Excluido"),0,I13*L13/(1+CASO!$E$8)^M13)</x:f>
        <x:v>0</x:v>
      </x:c>
    </x:row>
    <x:row r="14">
      <x:c r="A14" s="21"/>
      <x:c r="B14" s="21"/>
      <x:c r="C14" s="21"/>
      <x:c r="D14" s="21"/>
      <x:c r="E14" s="21"/>
      <x:c r="F14" s="21"/>
      <x:c r="G14" s="31"/>
      <x:c r="H14" s="31"/>
      <x:c r="I14" s="31"/>
      <x:c r="J14" s="31"/>
      <x:c r="K14" s="31"/>
      <x:c r="L14" s="31"/>
      <x:c r="M14" s="21"/>
      <x:c r="N14" s="21"/>
      <x:c r="O14" s="21"/>
      <x:c r="P14" s="21"/>
      <x:c r="Q14" s="21"/>
      <x:c r="R14" s="30" t="str">
        <x:f>IF(C14="","",IF(OR(N14&lt;&gt;"Sí",O14="X"),"Excluido",IF(OR(O14="D",O14="E"),"Exploratorio","Principal")))</x:f>
      </x:c>
      <x:c r="S14" s="32" t="n">
        <x:f>IF(OR(R14="",R14="Excluido"),0,G14*J14/(1+CASO!$E$6)^M14)</x:f>
        <x:v>0</x:v>
      </x:c>
      <x:c r="T14" s="32" t="n">
        <x:f>IF(OR(R14="",R14="Excluido"),0,H14*K14/(1+CASO!$E$7)^M14)</x:f>
        <x:v>0</x:v>
      </x:c>
      <x:c r="U14" s="32" t="n">
        <x:f>IF(OR(R14="",R14="Excluido"),0,I14*L14/(1+CASO!$E$8)^M14)</x:f>
        <x:v>0</x:v>
      </x:c>
    </x:row>
    <x:row r="15">
      <x:c r="A15" s="21"/>
      <x:c r="B15" s="21"/>
      <x:c r="C15" s="21"/>
      <x:c r="D15" s="21"/>
      <x:c r="E15" s="21"/>
      <x:c r="F15" s="21"/>
      <x:c r="G15" s="31"/>
      <x:c r="H15" s="31"/>
      <x:c r="I15" s="31"/>
      <x:c r="J15" s="31"/>
      <x:c r="K15" s="31"/>
      <x:c r="L15" s="31"/>
      <x:c r="M15" s="21"/>
      <x:c r="N15" s="21"/>
      <x:c r="O15" s="21"/>
      <x:c r="P15" s="21"/>
      <x:c r="Q15" s="21"/>
      <x:c r="R15" s="30" t="str">
        <x:f>IF(C15="","",IF(OR(N15&lt;&gt;"Sí",O15="X"),"Excluido",IF(OR(O15="D",O15="E"),"Exploratorio","Principal")))</x:f>
      </x:c>
      <x:c r="S15" s="32" t="n">
        <x:f>IF(OR(R15="",R15="Excluido"),0,G15*J15/(1+CASO!$E$6)^M15)</x:f>
        <x:v>0</x:v>
      </x:c>
      <x:c r="T15" s="32" t="n">
        <x:f>IF(OR(R15="",R15="Excluido"),0,H15*K15/(1+CASO!$E$7)^M15)</x:f>
        <x:v>0</x:v>
      </x:c>
      <x:c r="U15" s="32" t="n">
        <x:f>IF(OR(R15="",R15="Excluido"),0,I15*L15/(1+CASO!$E$8)^M15)</x:f>
        <x:v>0</x:v>
      </x:c>
    </x:row>
    <x:row r="16">
      <x:c r="A16" s="21"/>
      <x:c r="B16" s="21"/>
      <x:c r="C16" s="21"/>
      <x:c r="D16" s="21"/>
      <x:c r="E16" s="21"/>
      <x:c r="F16" s="21"/>
      <x:c r="G16" s="31"/>
      <x:c r="H16" s="31"/>
      <x:c r="I16" s="31"/>
      <x:c r="J16" s="31"/>
      <x:c r="K16" s="31"/>
      <x:c r="L16" s="31"/>
      <x:c r="M16" s="21"/>
      <x:c r="N16" s="21"/>
      <x:c r="O16" s="21"/>
      <x:c r="P16" s="21"/>
      <x:c r="Q16" s="21"/>
      <x:c r="R16" s="30" t="str">
        <x:f>IF(C16="","",IF(OR(N16&lt;&gt;"Sí",O16="X"),"Excluido",IF(OR(O16="D",O16="E"),"Exploratorio","Principal")))</x:f>
      </x:c>
      <x:c r="S16" s="32" t="n">
        <x:f>IF(OR(R16="",R16="Excluido"),0,G16*J16/(1+CASO!$E$6)^M16)</x:f>
        <x:v>0</x:v>
      </x:c>
      <x:c r="T16" s="32" t="n">
        <x:f>IF(OR(R16="",R16="Excluido"),0,H16*K16/(1+CASO!$E$7)^M16)</x:f>
        <x:v>0</x:v>
      </x:c>
      <x:c r="U16" s="32" t="n">
        <x:f>IF(OR(R16="",R16="Excluido"),0,I16*L16/(1+CASO!$E$8)^M16)</x:f>
        <x:v>0</x:v>
      </x:c>
    </x:row>
    <x:row r="17">
      <x:c r="A17" s="21"/>
      <x:c r="B17" s="21"/>
      <x:c r="C17" s="21"/>
      <x:c r="D17" s="21"/>
      <x:c r="E17" s="21"/>
      <x:c r="F17" s="21"/>
      <x:c r="G17" s="31"/>
      <x:c r="H17" s="31"/>
      <x:c r="I17" s="31"/>
      <x:c r="J17" s="31"/>
      <x:c r="K17" s="31"/>
      <x:c r="L17" s="31"/>
      <x:c r="M17" s="21"/>
      <x:c r="N17" s="21"/>
      <x:c r="O17" s="21"/>
      <x:c r="P17" s="21"/>
      <x:c r="Q17" s="21"/>
      <x:c r="R17" s="30" t="str">
        <x:f>IF(C17="","",IF(OR(N17&lt;&gt;"Sí",O17="X"),"Excluido",IF(OR(O17="D",O17="E"),"Exploratorio","Principal")))</x:f>
      </x:c>
      <x:c r="S17" s="32" t="n">
        <x:f>IF(OR(R17="",R17="Excluido"),0,G17*J17/(1+CASO!$E$6)^M17)</x:f>
        <x:v>0</x:v>
      </x:c>
      <x:c r="T17" s="32" t="n">
        <x:f>IF(OR(R17="",R17="Excluido"),0,H17*K17/(1+CASO!$E$7)^M17)</x:f>
        <x:v>0</x:v>
      </x:c>
      <x:c r="U17" s="32" t="n">
        <x:f>IF(OR(R17="",R17="Excluido"),0,I17*L17/(1+CASO!$E$8)^M17)</x:f>
        <x:v>0</x:v>
      </x:c>
    </x:row>
    <x:row r="18">
      <x:c r="A18" s="21"/>
      <x:c r="B18" s="21"/>
      <x:c r="C18" s="21"/>
      <x:c r="D18" s="21"/>
      <x:c r="E18" s="21"/>
      <x:c r="F18" s="21"/>
      <x:c r="G18" s="31"/>
      <x:c r="H18" s="31"/>
      <x:c r="I18" s="31"/>
      <x:c r="J18" s="31"/>
      <x:c r="K18" s="31"/>
      <x:c r="L18" s="31"/>
      <x:c r="M18" s="21"/>
      <x:c r="N18" s="21"/>
      <x:c r="O18" s="21"/>
      <x:c r="P18" s="21"/>
      <x:c r="Q18" s="21"/>
      <x:c r="R18" s="30" t="str">
        <x:f>IF(C18="","",IF(OR(N18&lt;&gt;"Sí",O18="X"),"Excluido",IF(OR(O18="D",O18="E"),"Exploratorio","Principal")))</x:f>
      </x:c>
      <x:c r="S18" s="32" t="n">
        <x:f>IF(OR(R18="",R18="Excluido"),0,G18*J18/(1+CASO!$E$6)^M18)</x:f>
        <x:v>0</x:v>
      </x:c>
      <x:c r="T18" s="32" t="n">
        <x:f>IF(OR(R18="",R18="Excluido"),0,H18*K18/(1+CASO!$E$7)^M18)</x:f>
        <x:v>0</x:v>
      </x:c>
      <x:c r="U18" s="32" t="n">
        <x:f>IF(OR(R18="",R18="Excluido"),0,I18*L18/(1+CASO!$E$8)^M18)</x:f>
        <x:v>0</x:v>
      </x:c>
    </x:row>
    <x:row r="19">
      <x:c r="A19" s="21"/>
      <x:c r="B19" s="21"/>
      <x:c r="C19" s="21"/>
      <x:c r="D19" s="21"/>
      <x:c r="E19" s="21"/>
      <x:c r="F19" s="21"/>
      <x:c r="G19" s="31"/>
      <x:c r="H19" s="31"/>
      <x:c r="I19" s="31"/>
      <x:c r="J19" s="31"/>
      <x:c r="K19" s="31"/>
      <x:c r="L19" s="31"/>
      <x:c r="M19" s="21"/>
      <x:c r="N19" s="21"/>
      <x:c r="O19" s="21"/>
      <x:c r="P19" s="21"/>
      <x:c r="Q19" s="21"/>
      <x:c r="R19" s="30" t="str">
        <x:f>IF(C19="","",IF(OR(N19&lt;&gt;"Sí",O19="X"),"Excluido",IF(OR(O19="D",O19="E"),"Exploratorio","Principal")))</x:f>
      </x:c>
      <x:c r="S19" s="32" t="n">
        <x:f>IF(OR(R19="",R19="Excluido"),0,G19*J19/(1+CASO!$E$6)^M19)</x:f>
        <x:v>0</x:v>
      </x:c>
      <x:c r="T19" s="32" t="n">
        <x:f>IF(OR(R19="",R19="Excluido"),0,H19*K19/(1+CASO!$E$7)^M19)</x:f>
        <x:v>0</x:v>
      </x:c>
      <x:c r="U19" s="32" t="n">
        <x:f>IF(OR(R19="",R19="Excluido"),0,I19*L19/(1+CASO!$E$8)^M19)</x:f>
        <x:v>0</x:v>
      </x:c>
    </x:row>
    <x:row r="20">
      <x:c r="A20" s="21"/>
      <x:c r="B20" s="21"/>
      <x:c r="C20" s="21"/>
      <x:c r="D20" s="21"/>
      <x:c r="E20" s="21"/>
      <x:c r="F20" s="21"/>
      <x:c r="G20" s="31"/>
      <x:c r="H20" s="31"/>
      <x:c r="I20" s="31"/>
      <x:c r="J20" s="31"/>
      <x:c r="K20" s="31"/>
      <x:c r="L20" s="31"/>
      <x:c r="M20" s="21"/>
      <x:c r="N20" s="21"/>
      <x:c r="O20" s="21"/>
      <x:c r="P20" s="21"/>
      <x:c r="Q20" s="21"/>
      <x:c r="R20" s="30" t="str">
        <x:f>IF(C20="","",IF(OR(N20&lt;&gt;"Sí",O20="X"),"Excluido",IF(OR(O20="D",O20="E"),"Exploratorio","Principal")))</x:f>
      </x:c>
      <x:c r="S20" s="32" t="n">
        <x:f>IF(OR(R20="",R20="Excluido"),0,G20*J20/(1+CASO!$E$6)^M20)</x:f>
        <x:v>0</x:v>
      </x:c>
      <x:c r="T20" s="32" t="n">
        <x:f>IF(OR(R20="",R20="Excluido"),0,H20*K20/(1+CASO!$E$7)^M20)</x:f>
        <x:v>0</x:v>
      </x:c>
      <x:c r="U20" s="32" t="n">
        <x:f>IF(OR(R20="",R20="Excluido"),0,I20*L20/(1+CASO!$E$8)^M20)</x:f>
        <x:v>0</x:v>
      </x:c>
    </x:row>
    <x:row r="21">
      <x:c r="A21" s="21"/>
      <x:c r="B21" s="21"/>
      <x:c r="C21" s="21"/>
      <x:c r="D21" s="21"/>
      <x:c r="E21" s="21"/>
      <x:c r="F21" s="21"/>
      <x:c r="G21" s="31"/>
      <x:c r="H21" s="31"/>
      <x:c r="I21" s="31"/>
      <x:c r="J21" s="31"/>
      <x:c r="K21" s="31"/>
      <x:c r="L21" s="31"/>
      <x:c r="M21" s="21"/>
      <x:c r="N21" s="21"/>
      <x:c r="O21" s="21"/>
      <x:c r="P21" s="21"/>
      <x:c r="Q21" s="21"/>
      <x:c r="R21" s="30" t="str">
        <x:f>IF(C21="","",IF(OR(N21&lt;&gt;"Sí",O21="X"),"Excluido",IF(OR(O21="D",O21="E"),"Exploratorio","Principal")))</x:f>
      </x:c>
      <x:c r="S21" s="32" t="n">
        <x:f>IF(OR(R21="",R21="Excluido"),0,G21*J21/(1+CASO!$E$6)^M21)</x:f>
        <x:v>0</x:v>
      </x:c>
      <x:c r="T21" s="32" t="n">
        <x:f>IF(OR(R21="",R21="Excluido"),0,H21*K21/(1+CASO!$E$7)^M21)</x:f>
        <x:v>0</x:v>
      </x:c>
      <x:c r="U21" s="32" t="n">
        <x:f>IF(OR(R21="",R21="Excluido"),0,I21*L21/(1+CASO!$E$8)^M21)</x:f>
        <x:v>0</x:v>
      </x:c>
    </x:row>
    <x:row r="22">
      <x:c r="A22" s="21"/>
      <x:c r="B22" s="21"/>
      <x:c r="C22" s="21"/>
      <x:c r="D22" s="21"/>
      <x:c r="E22" s="21"/>
      <x:c r="F22" s="21"/>
      <x:c r="G22" s="31"/>
      <x:c r="H22" s="31"/>
      <x:c r="I22" s="31"/>
      <x:c r="J22" s="31"/>
      <x:c r="K22" s="31"/>
      <x:c r="L22" s="31"/>
      <x:c r="M22" s="21"/>
      <x:c r="N22" s="21"/>
      <x:c r="O22" s="21"/>
      <x:c r="P22" s="21"/>
      <x:c r="Q22" s="21"/>
      <x:c r="R22" s="30" t="str">
        <x:f>IF(C22="","",IF(OR(N22&lt;&gt;"Sí",O22="X"),"Excluido",IF(OR(O22="D",O22="E"),"Exploratorio","Principal")))</x:f>
      </x:c>
      <x:c r="S22" s="32" t="n">
        <x:f>IF(OR(R22="",R22="Excluido"),0,G22*J22/(1+CASO!$E$6)^M22)</x:f>
        <x:v>0</x:v>
      </x:c>
      <x:c r="T22" s="32" t="n">
        <x:f>IF(OR(R22="",R22="Excluido"),0,H22*K22/(1+CASO!$E$7)^M22)</x:f>
        <x:v>0</x:v>
      </x:c>
      <x:c r="U22" s="32" t="n">
        <x:f>IF(OR(R22="",R22="Excluido"),0,I22*L22/(1+CASO!$E$8)^M22)</x:f>
        <x:v>0</x:v>
      </x:c>
    </x:row>
    <x:row r="23">
      <x:c r="A23" s="21"/>
      <x:c r="B23" s="21"/>
      <x:c r="C23" s="21"/>
      <x:c r="D23" s="21"/>
      <x:c r="E23" s="21"/>
      <x:c r="F23" s="21"/>
      <x:c r="G23" s="31"/>
      <x:c r="H23" s="31"/>
      <x:c r="I23" s="31"/>
      <x:c r="J23" s="31"/>
      <x:c r="K23" s="31"/>
      <x:c r="L23" s="31"/>
      <x:c r="M23" s="21"/>
      <x:c r="N23" s="21"/>
      <x:c r="O23" s="21"/>
      <x:c r="P23" s="21"/>
      <x:c r="Q23" s="21"/>
      <x:c r="R23" s="30" t="str">
        <x:f>IF(C23="","",IF(OR(N23&lt;&gt;"Sí",O23="X"),"Excluido",IF(OR(O23="D",O23="E"),"Exploratorio","Principal")))</x:f>
      </x:c>
      <x:c r="S23" s="32" t="n">
        <x:f>IF(OR(R23="",R23="Excluido"),0,G23*J23/(1+CASO!$E$6)^M23)</x:f>
        <x:v>0</x:v>
      </x:c>
      <x:c r="T23" s="32" t="n">
        <x:f>IF(OR(R23="",R23="Excluido"),0,H23*K23/(1+CASO!$E$7)^M23)</x:f>
        <x:v>0</x:v>
      </x:c>
      <x:c r="U23" s="32" t="n">
        <x:f>IF(OR(R23="",R23="Excluido"),0,I23*L23/(1+CASO!$E$8)^M23)</x:f>
        <x:v>0</x:v>
      </x:c>
    </x:row>
    <x:row r="24">
      <x:c r="A24" s="21"/>
      <x:c r="B24" s="21"/>
      <x:c r="C24" s="21"/>
      <x:c r="D24" s="21"/>
      <x:c r="E24" s="21"/>
      <x:c r="F24" s="21"/>
      <x:c r="G24" s="31"/>
      <x:c r="H24" s="31"/>
      <x:c r="I24" s="31"/>
      <x:c r="J24" s="31"/>
      <x:c r="K24" s="31"/>
      <x:c r="L24" s="31"/>
      <x:c r="M24" s="21"/>
      <x:c r="N24" s="21"/>
      <x:c r="O24" s="21"/>
      <x:c r="P24" s="21"/>
      <x:c r="Q24" s="21"/>
      <x:c r="R24" s="30" t="str">
        <x:f>IF(C24="","",IF(OR(N24&lt;&gt;"Sí",O24="X"),"Excluido",IF(OR(O24="D",O24="E"),"Exploratorio","Principal")))</x:f>
      </x:c>
      <x:c r="S24" s="32" t="n">
        <x:f>IF(OR(R24="",R24="Excluido"),0,G24*J24/(1+CASO!$E$6)^M24)</x:f>
        <x:v>0</x:v>
      </x:c>
      <x:c r="T24" s="32" t="n">
        <x:f>IF(OR(R24="",R24="Excluido"),0,H24*K24/(1+CASO!$E$7)^M24)</x:f>
        <x:v>0</x:v>
      </x:c>
      <x:c r="U24" s="32" t="n">
        <x:f>IF(OR(R24="",R24="Excluido"),0,I24*L24/(1+CASO!$E$8)^M24)</x:f>
        <x:v>0</x:v>
      </x:c>
    </x:row>
    <x:row r="25">
      <x:c r="A25" s="21"/>
      <x:c r="B25" s="21"/>
      <x:c r="C25" s="21"/>
      <x:c r="D25" s="21"/>
      <x:c r="E25" s="21"/>
      <x:c r="F25" s="21"/>
      <x:c r="G25" s="31"/>
      <x:c r="H25" s="31"/>
      <x:c r="I25" s="31"/>
      <x:c r="J25" s="31"/>
      <x:c r="K25" s="31"/>
      <x:c r="L25" s="31"/>
      <x:c r="M25" s="21"/>
      <x:c r="N25" s="21"/>
      <x:c r="O25" s="21"/>
      <x:c r="P25" s="21"/>
      <x:c r="Q25" s="21"/>
      <x:c r="R25" s="30" t="str">
        <x:f>IF(C25="","",IF(OR(N25&lt;&gt;"Sí",O25="X"),"Excluido",IF(OR(O25="D",O25="E"),"Exploratorio","Principal")))</x:f>
      </x:c>
      <x:c r="S25" s="32" t="n">
        <x:f>IF(OR(R25="",R25="Excluido"),0,G25*J25/(1+CASO!$E$6)^M25)</x:f>
        <x:v>0</x:v>
      </x:c>
      <x:c r="T25" s="32" t="n">
        <x:f>IF(OR(R25="",R25="Excluido"),0,H25*K25/(1+CASO!$E$7)^M25)</x:f>
        <x:v>0</x:v>
      </x:c>
      <x:c r="U25" s="32" t="n">
        <x:f>IF(OR(R25="",R25="Excluido"),0,I25*L25/(1+CASO!$E$8)^M25)</x:f>
        <x:v>0</x:v>
      </x:c>
    </x:row>
    <x:row r="26">
      <x:c r="A26" s="21"/>
      <x:c r="B26" s="21"/>
      <x:c r="C26" s="21"/>
      <x:c r="D26" s="21"/>
      <x:c r="E26" s="21"/>
      <x:c r="F26" s="21"/>
      <x:c r="G26" s="31"/>
      <x:c r="H26" s="31"/>
      <x:c r="I26" s="31"/>
      <x:c r="J26" s="31"/>
      <x:c r="K26" s="31"/>
      <x:c r="L26" s="31"/>
      <x:c r="M26" s="21"/>
      <x:c r="N26" s="21"/>
      <x:c r="O26" s="21"/>
      <x:c r="P26" s="21"/>
      <x:c r="Q26" s="21"/>
      <x:c r="R26" s="30" t="str">
        <x:f>IF(C26="","",IF(OR(N26&lt;&gt;"Sí",O26="X"),"Excluido",IF(OR(O26="D",O26="E"),"Exploratorio","Principal")))</x:f>
      </x:c>
      <x:c r="S26" s="32" t="n">
        <x:f>IF(OR(R26="",R26="Excluido"),0,G26*J26/(1+CASO!$E$6)^M26)</x:f>
        <x:v>0</x:v>
      </x:c>
      <x:c r="T26" s="32" t="n">
        <x:f>IF(OR(R26="",R26="Excluido"),0,H26*K26/(1+CASO!$E$7)^M26)</x:f>
        <x:v>0</x:v>
      </x:c>
      <x:c r="U26" s="32" t="n">
        <x:f>IF(OR(R26="",R26="Excluido"),0,I26*L26/(1+CASO!$E$8)^M26)</x:f>
        <x:v>0</x:v>
      </x:c>
    </x:row>
    <x:row r="27">
      <x:c r="A27" s="21"/>
      <x:c r="B27" s="21"/>
      <x:c r="C27" s="21"/>
      <x:c r="D27" s="21"/>
      <x:c r="E27" s="21"/>
      <x:c r="F27" s="21"/>
      <x:c r="G27" s="31"/>
      <x:c r="H27" s="31"/>
      <x:c r="I27" s="31"/>
      <x:c r="J27" s="31"/>
      <x:c r="K27" s="31"/>
      <x:c r="L27" s="31"/>
      <x:c r="M27" s="21"/>
      <x:c r="N27" s="21"/>
      <x:c r="O27" s="21"/>
      <x:c r="P27" s="21"/>
      <x:c r="Q27" s="21"/>
      <x:c r="R27" s="30" t="str">
        <x:f>IF(C27="","",IF(OR(N27&lt;&gt;"Sí",O27="X"),"Excluido",IF(OR(O27="D",O27="E"),"Exploratorio","Principal")))</x:f>
      </x:c>
      <x:c r="S27" s="32" t="n">
        <x:f>IF(OR(R27="",R27="Excluido"),0,G27*J27/(1+CASO!$E$6)^M27)</x:f>
        <x:v>0</x:v>
      </x:c>
      <x:c r="T27" s="32" t="n">
        <x:f>IF(OR(R27="",R27="Excluido"),0,H27*K27/(1+CASO!$E$7)^M27)</x:f>
        <x:v>0</x:v>
      </x:c>
      <x:c r="U27" s="32" t="n">
        <x:f>IF(OR(R27="",R27="Excluido"),0,I27*L27/(1+CASO!$E$8)^M27)</x:f>
        <x:v>0</x:v>
      </x:c>
    </x:row>
    <x:row r="28">
      <x:c r="A28" s="21"/>
      <x:c r="B28" s="21"/>
      <x:c r="C28" s="21"/>
      <x:c r="D28" s="21"/>
      <x:c r="E28" s="21"/>
      <x:c r="F28" s="21"/>
      <x:c r="G28" s="31"/>
      <x:c r="H28" s="31"/>
      <x:c r="I28" s="31"/>
      <x:c r="J28" s="31"/>
      <x:c r="K28" s="31"/>
      <x:c r="L28" s="31"/>
      <x:c r="M28" s="21"/>
      <x:c r="N28" s="21"/>
      <x:c r="O28" s="21"/>
      <x:c r="P28" s="21"/>
      <x:c r="Q28" s="21"/>
      <x:c r="R28" s="30" t="str">
        <x:f>IF(C28="","",IF(OR(N28&lt;&gt;"Sí",O28="X"),"Excluido",IF(OR(O28="D",O28="E"),"Exploratorio","Principal")))</x:f>
      </x:c>
      <x:c r="S28" s="32" t="n">
        <x:f>IF(OR(R28="",R28="Excluido"),0,G28*J28/(1+CASO!$E$6)^M28)</x:f>
        <x:v>0</x:v>
      </x:c>
      <x:c r="T28" s="32" t="n">
        <x:f>IF(OR(R28="",R28="Excluido"),0,H28*K28/(1+CASO!$E$7)^M28)</x:f>
        <x:v>0</x:v>
      </x:c>
      <x:c r="U28" s="32" t="n">
        <x:f>IF(OR(R28="",R28="Excluido"),0,I28*L28/(1+CASO!$E$8)^M28)</x:f>
        <x:v>0</x:v>
      </x:c>
    </x:row>
    <x:row r="29">
      <x:c r="A29" s="21"/>
      <x:c r="B29" s="21"/>
      <x:c r="C29" s="21"/>
      <x:c r="D29" s="21"/>
      <x:c r="E29" s="21"/>
      <x:c r="F29" s="21"/>
      <x:c r="G29" s="31"/>
      <x:c r="H29" s="31"/>
      <x:c r="I29" s="31"/>
      <x:c r="J29" s="31"/>
      <x:c r="K29" s="31"/>
      <x:c r="L29" s="31"/>
      <x:c r="M29" s="21"/>
      <x:c r="N29" s="21"/>
      <x:c r="O29" s="21"/>
      <x:c r="P29" s="21"/>
      <x:c r="Q29" s="21"/>
      <x:c r="R29" s="30" t="str">
        <x:f>IF(C29="","",IF(OR(N29&lt;&gt;"Sí",O29="X"),"Excluido",IF(OR(O29="D",O29="E"),"Exploratorio","Principal")))</x:f>
      </x:c>
      <x:c r="S29" s="32" t="n">
        <x:f>IF(OR(R29="",R29="Excluido"),0,G29*J29/(1+CASO!$E$6)^M29)</x:f>
        <x:v>0</x:v>
      </x:c>
      <x:c r="T29" s="32" t="n">
        <x:f>IF(OR(R29="",R29="Excluido"),0,H29*K29/(1+CASO!$E$7)^M29)</x:f>
        <x:v>0</x:v>
      </x:c>
      <x:c r="U29" s="32" t="n">
        <x:f>IF(OR(R29="",R29="Excluido"),0,I29*L29/(1+CASO!$E$8)^M29)</x:f>
        <x:v>0</x:v>
      </x:c>
    </x:row>
    <x:row r="30">
      <x:c r="A30" s="21"/>
      <x:c r="B30" s="21"/>
      <x:c r="C30" s="21"/>
      <x:c r="D30" s="21"/>
      <x:c r="E30" s="21"/>
      <x:c r="F30" s="21"/>
      <x:c r="G30" s="31"/>
      <x:c r="H30" s="31"/>
      <x:c r="I30" s="31"/>
      <x:c r="J30" s="31"/>
      <x:c r="K30" s="31"/>
      <x:c r="L30" s="31"/>
      <x:c r="M30" s="21"/>
      <x:c r="N30" s="21"/>
      <x:c r="O30" s="21"/>
      <x:c r="P30" s="21"/>
      <x:c r="Q30" s="21"/>
      <x:c r="R30" s="30" t="str">
        <x:f>IF(C30="","",IF(OR(N30&lt;&gt;"Sí",O30="X"),"Excluido",IF(OR(O30="D",O30="E"),"Exploratorio","Principal")))</x:f>
      </x:c>
      <x:c r="S30" s="32" t="n">
        <x:f>IF(OR(R30="",R30="Excluido"),0,G30*J30/(1+CASO!$E$6)^M30)</x:f>
        <x:v>0</x:v>
      </x:c>
      <x:c r="T30" s="32" t="n">
        <x:f>IF(OR(R30="",R30="Excluido"),0,H30*K30/(1+CASO!$E$7)^M30)</x:f>
        <x:v>0</x:v>
      </x:c>
      <x:c r="U30" s="32" t="n">
        <x:f>IF(OR(R30="",R30="Excluido"),0,I30*L30/(1+CASO!$E$8)^M30)</x:f>
        <x:v>0</x:v>
      </x:c>
    </x:row>
    <x:row r="31">
      <x:c r="A31" s="21"/>
      <x:c r="B31" s="21"/>
      <x:c r="C31" s="21"/>
      <x:c r="D31" s="21"/>
      <x:c r="E31" s="21"/>
      <x:c r="F31" s="21"/>
      <x:c r="G31" s="31"/>
      <x:c r="H31" s="31"/>
      <x:c r="I31" s="31"/>
      <x:c r="J31" s="31"/>
      <x:c r="K31" s="31"/>
      <x:c r="L31" s="31"/>
      <x:c r="M31" s="21"/>
      <x:c r="N31" s="21"/>
      <x:c r="O31" s="21"/>
      <x:c r="P31" s="21"/>
      <x:c r="Q31" s="21"/>
      <x:c r="R31" s="30" t="str">
        <x:f>IF(C31="","",IF(OR(N31&lt;&gt;"Sí",O31="X"),"Excluido",IF(OR(O31="D",O31="E"),"Exploratorio","Principal")))</x:f>
      </x:c>
      <x:c r="S31" s="32" t="n">
        <x:f>IF(OR(R31="",R31="Excluido"),0,G31*J31/(1+CASO!$E$6)^M31)</x:f>
        <x:v>0</x:v>
      </x:c>
      <x:c r="T31" s="32" t="n">
        <x:f>IF(OR(R31="",R31="Excluido"),0,H31*K31/(1+CASO!$E$7)^M31)</x:f>
        <x:v>0</x:v>
      </x:c>
      <x:c r="U31" s="32" t="n">
        <x:f>IF(OR(R31="",R31="Excluido"),0,I31*L31/(1+CASO!$E$8)^M31)</x:f>
        <x:v>0</x:v>
      </x:c>
    </x:row>
    <x:row r="32">
      <x:c r="A32" s="21"/>
      <x:c r="B32" s="21"/>
      <x:c r="C32" s="21"/>
      <x:c r="D32" s="21"/>
      <x:c r="E32" s="21"/>
      <x:c r="F32" s="21"/>
      <x:c r="G32" s="31"/>
      <x:c r="H32" s="31"/>
      <x:c r="I32" s="31"/>
      <x:c r="J32" s="31"/>
      <x:c r="K32" s="31"/>
      <x:c r="L32" s="31"/>
      <x:c r="M32" s="21"/>
      <x:c r="N32" s="21"/>
      <x:c r="O32" s="21"/>
      <x:c r="P32" s="21"/>
      <x:c r="Q32" s="21"/>
      <x:c r="R32" s="30" t="str">
        <x:f>IF(C32="","",IF(OR(N32&lt;&gt;"Sí",O32="X"),"Excluido",IF(OR(O32="D",O32="E"),"Exploratorio","Principal")))</x:f>
      </x:c>
      <x:c r="S32" s="32" t="n">
        <x:f>IF(OR(R32="",R32="Excluido"),0,G32*J32/(1+CASO!$E$6)^M32)</x:f>
        <x:v>0</x:v>
      </x:c>
      <x:c r="T32" s="32" t="n">
        <x:f>IF(OR(R32="",R32="Excluido"),0,H32*K32/(1+CASO!$E$7)^M32)</x:f>
        <x:v>0</x:v>
      </x:c>
      <x:c r="U32" s="32" t="n">
        <x:f>IF(OR(R32="",R32="Excluido"),0,I32*L32/(1+CASO!$E$8)^M32)</x:f>
        <x:v>0</x:v>
      </x:c>
    </x:row>
    <x:row r="33">
      <x:c r="A33" s="21"/>
      <x:c r="B33" s="21"/>
      <x:c r="C33" s="21"/>
      <x:c r="D33" s="21"/>
      <x:c r="E33" s="21"/>
      <x:c r="F33" s="21"/>
      <x:c r="G33" s="31"/>
      <x:c r="H33" s="31"/>
      <x:c r="I33" s="31"/>
      <x:c r="J33" s="31"/>
      <x:c r="K33" s="31"/>
      <x:c r="L33" s="31"/>
      <x:c r="M33" s="21"/>
      <x:c r="N33" s="21"/>
      <x:c r="O33" s="21"/>
      <x:c r="P33" s="21"/>
      <x:c r="Q33" s="21"/>
      <x:c r="R33" s="30" t="str">
        <x:f>IF(C33="","",IF(OR(N33&lt;&gt;"Sí",O33="X"),"Excluido",IF(OR(O33="D",O33="E"),"Exploratorio","Principal")))</x:f>
      </x:c>
      <x:c r="S33" s="32" t="n">
        <x:f>IF(OR(R33="",R33="Excluido"),0,G33*J33/(1+CASO!$E$6)^M33)</x:f>
        <x:v>0</x:v>
      </x:c>
      <x:c r="T33" s="32" t="n">
        <x:f>IF(OR(R33="",R33="Excluido"),0,H33*K33/(1+CASO!$E$7)^M33)</x:f>
        <x:v>0</x:v>
      </x:c>
      <x:c r="U33" s="32" t="n">
        <x:f>IF(OR(R33="",R33="Excluido"),0,I33*L33/(1+CASO!$E$8)^M33)</x:f>
        <x:v>0</x:v>
      </x:c>
    </x:row>
    <x:row r="34">
      <x:c r="A34" s="21"/>
      <x:c r="B34" s="21"/>
      <x:c r="C34" s="21"/>
      <x:c r="D34" s="21"/>
      <x:c r="E34" s="21"/>
      <x:c r="F34" s="21"/>
      <x:c r="G34" s="31"/>
      <x:c r="H34" s="31"/>
      <x:c r="I34" s="31"/>
      <x:c r="J34" s="31"/>
      <x:c r="K34" s="31"/>
      <x:c r="L34" s="31"/>
      <x:c r="M34" s="21"/>
      <x:c r="N34" s="21"/>
      <x:c r="O34" s="21"/>
      <x:c r="P34" s="21"/>
      <x:c r="Q34" s="21"/>
      <x:c r="R34" s="30" t="str">
        <x:f>IF(C34="","",IF(OR(N34&lt;&gt;"Sí",O34="X"),"Excluido",IF(OR(O34="D",O34="E"),"Exploratorio","Principal")))</x:f>
      </x:c>
      <x:c r="S34" s="32" t="n">
        <x:f>IF(OR(R34="",R34="Excluido"),0,G34*J34/(1+CASO!$E$6)^M34)</x:f>
        <x:v>0</x:v>
      </x:c>
      <x:c r="T34" s="32" t="n">
        <x:f>IF(OR(R34="",R34="Excluido"),0,H34*K34/(1+CASO!$E$7)^M34)</x:f>
        <x:v>0</x:v>
      </x:c>
      <x:c r="U34" s="32" t="n">
        <x:f>IF(OR(R34="",R34="Excluido"),0,I34*L34/(1+CASO!$E$8)^M34)</x:f>
        <x:v>0</x:v>
      </x:c>
    </x:row>
    <x:row r="35">
      <x:c r="A35" s="21"/>
      <x:c r="B35" s="21"/>
      <x:c r="C35" s="21"/>
      <x:c r="D35" s="21"/>
      <x:c r="E35" s="21"/>
      <x:c r="F35" s="21"/>
      <x:c r="G35" s="31"/>
      <x:c r="H35" s="31"/>
      <x:c r="I35" s="31"/>
      <x:c r="J35" s="31"/>
      <x:c r="K35" s="31"/>
      <x:c r="L35" s="31"/>
      <x:c r="M35" s="21"/>
      <x:c r="N35" s="21"/>
      <x:c r="O35" s="21"/>
      <x:c r="P35" s="21"/>
      <x:c r="Q35" s="21"/>
      <x:c r="R35" s="30" t="str">
        <x:f>IF(C35="","",IF(OR(N35&lt;&gt;"Sí",O35="X"),"Excluido",IF(OR(O35="D",O35="E"),"Exploratorio","Principal")))</x:f>
      </x:c>
      <x:c r="S35" s="32" t="n">
        <x:f>IF(OR(R35="",R35="Excluido"),0,G35*J35/(1+CASO!$E$6)^M35)</x:f>
        <x:v>0</x:v>
      </x:c>
      <x:c r="T35" s="32" t="n">
        <x:f>IF(OR(R35="",R35="Excluido"),0,H35*K35/(1+CASO!$E$7)^M35)</x:f>
        <x:v>0</x:v>
      </x:c>
      <x:c r="U35" s="32" t="n">
        <x:f>IF(OR(R35="",R35="Excluido"),0,I35*L35/(1+CASO!$E$8)^M35)</x:f>
        <x:v>0</x:v>
      </x:c>
    </x:row>
    <x:row r="36">
      <x:c r="A36" s="21"/>
      <x:c r="B36" s="21"/>
      <x:c r="C36" s="21"/>
      <x:c r="D36" s="21"/>
      <x:c r="E36" s="21"/>
      <x:c r="F36" s="21"/>
      <x:c r="G36" s="31"/>
      <x:c r="H36" s="31"/>
      <x:c r="I36" s="31"/>
      <x:c r="J36" s="31"/>
      <x:c r="K36" s="31"/>
      <x:c r="L36" s="31"/>
      <x:c r="M36" s="21"/>
      <x:c r="N36" s="21"/>
      <x:c r="O36" s="21"/>
      <x:c r="P36" s="21"/>
      <x:c r="Q36" s="21"/>
      <x:c r="R36" s="30" t="str">
        <x:f>IF(C36="","",IF(OR(N36&lt;&gt;"Sí",O36="X"),"Excluido",IF(OR(O36="D",O36="E"),"Exploratorio","Principal")))</x:f>
      </x:c>
      <x:c r="S36" s="32" t="n">
        <x:f>IF(OR(R36="",R36="Excluido"),0,G36*J36/(1+CASO!$E$6)^M36)</x:f>
        <x:v>0</x:v>
      </x:c>
      <x:c r="T36" s="32" t="n">
        <x:f>IF(OR(R36="",R36="Excluido"),0,H36*K36/(1+CASO!$E$7)^M36)</x:f>
        <x:v>0</x:v>
      </x:c>
      <x:c r="U36" s="32" t="n">
        <x:f>IF(OR(R36="",R36="Excluido"),0,I36*L36/(1+CASO!$E$8)^M36)</x:f>
        <x:v>0</x:v>
      </x:c>
    </x:row>
    <x:row r="37">
      <x:c r="A37" s="21"/>
      <x:c r="B37" s="21"/>
      <x:c r="C37" s="21"/>
      <x:c r="D37" s="21"/>
      <x:c r="E37" s="21"/>
      <x:c r="F37" s="21"/>
      <x:c r="G37" s="31"/>
      <x:c r="H37" s="31"/>
      <x:c r="I37" s="31"/>
      <x:c r="J37" s="31"/>
      <x:c r="K37" s="31"/>
      <x:c r="L37" s="31"/>
      <x:c r="M37" s="21"/>
      <x:c r="N37" s="21"/>
      <x:c r="O37" s="21"/>
      <x:c r="P37" s="21"/>
      <x:c r="Q37" s="21"/>
      <x:c r="R37" s="30" t="str">
        <x:f>IF(C37="","",IF(OR(N37&lt;&gt;"Sí",O37="X"),"Excluido",IF(OR(O37="D",O37="E"),"Exploratorio","Principal")))</x:f>
      </x:c>
      <x:c r="S37" s="32" t="n">
        <x:f>IF(OR(R37="",R37="Excluido"),0,G37*J37/(1+CASO!$E$6)^M37)</x:f>
        <x:v>0</x:v>
      </x:c>
      <x:c r="T37" s="32" t="n">
        <x:f>IF(OR(R37="",R37="Excluido"),0,H37*K37/(1+CASO!$E$7)^M37)</x:f>
        <x:v>0</x:v>
      </x:c>
      <x:c r="U37" s="32" t="n">
        <x:f>IF(OR(R37="",R37="Excluido"),0,I37*L37/(1+CASO!$E$8)^M37)</x:f>
        <x:v>0</x:v>
      </x:c>
    </x:row>
    <x:row r="38">
      <x:c r="A38" s="21"/>
      <x:c r="B38" s="21"/>
      <x:c r="C38" s="21"/>
      <x:c r="D38" s="21"/>
      <x:c r="E38" s="21"/>
      <x:c r="F38" s="21"/>
      <x:c r="G38" s="31"/>
      <x:c r="H38" s="31"/>
      <x:c r="I38" s="31"/>
      <x:c r="J38" s="31"/>
      <x:c r="K38" s="31"/>
      <x:c r="L38" s="31"/>
      <x:c r="M38" s="21"/>
      <x:c r="N38" s="21"/>
      <x:c r="O38" s="21"/>
      <x:c r="P38" s="21"/>
      <x:c r="Q38" s="21"/>
      <x:c r="R38" s="30" t="str">
        <x:f>IF(C38="","",IF(OR(N38&lt;&gt;"Sí",O38="X"),"Excluido",IF(OR(O38="D",O38="E"),"Exploratorio","Principal")))</x:f>
      </x:c>
      <x:c r="S38" s="32" t="n">
        <x:f>IF(OR(R38="",R38="Excluido"),0,G38*J38/(1+CASO!$E$6)^M38)</x:f>
        <x:v>0</x:v>
      </x:c>
      <x:c r="T38" s="32" t="n">
        <x:f>IF(OR(R38="",R38="Excluido"),0,H38*K38/(1+CASO!$E$7)^M38)</x:f>
        <x:v>0</x:v>
      </x:c>
      <x:c r="U38" s="32" t="n">
        <x:f>IF(OR(R38="",R38="Excluido"),0,I38*L38/(1+CASO!$E$8)^M38)</x:f>
        <x:v>0</x:v>
      </x:c>
    </x:row>
    <x:row r="39">
      <x:c r="A39" s="21"/>
      <x:c r="B39" s="21"/>
      <x:c r="C39" s="21"/>
      <x:c r="D39" s="21"/>
      <x:c r="E39" s="21"/>
      <x:c r="F39" s="21"/>
      <x:c r="G39" s="31"/>
      <x:c r="H39" s="31"/>
      <x:c r="I39" s="31"/>
      <x:c r="J39" s="31"/>
      <x:c r="K39" s="31"/>
      <x:c r="L39" s="31"/>
      <x:c r="M39" s="21"/>
      <x:c r="N39" s="21"/>
      <x:c r="O39" s="21"/>
      <x:c r="P39" s="21"/>
      <x:c r="Q39" s="21"/>
      <x:c r="R39" s="30" t="str">
        <x:f>IF(C39="","",IF(OR(N39&lt;&gt;"Sí",O39="X"),"Excluido",IF(OR(O39="D",O39="E"),"Exploratorio","Principal")))</x:f>
      </x:c>
      <x:c r="S39" s="32" t="n">
        <x:f>IF(OR(R39="",R39="Excluido"),0,G39*J39/(1+CASO!$E$6)^M39)</x:f>
        <x:v>0</x:v>
      </x:c>
      <x:c r="T39" s="32" t="n">
        <x:f>IF(OR(R39="",R39="Excluido"),0,H39*K39/(1+CASO!$E$7)^M39)</x:f>
        <x:v>0</x:v>
      </x:c>
      <x:c r="U39" s="32" t="n">
        <x:f>IF(OR(R39="",R39="Excluido"),0,I39*L39/(1+CASO!$E$8)^M39)</x:f>
        <x:v>0</x:v>
      </x:c>
    </x:row>
    <x:row r="40">
      <x:c r="A40" s="21"/>
      <x:c r="B40" s="21"/>
      <x:c r="C40" s="21"/>
      <x:c r="D40" s="21"/>
      <x:c r="E40" s="21"/>
      <x:c r="F40" s="21"/>
      <x:c r="G40" s="31"/>
      <x:c r="H40" s="31"/>
      <x:c r="I40" s="31"/>
      <x:c r="J40" s="31"/>
      <x:c r="K40" s="31"/>
      <x:c r="L40" s="31"/>
      <x:c r="M40" s="21"/>
      <x:c r="N40" s="21"/>
      <x:c r="O40" s="21"/>
      <x:c r="P40" s="21"/>
      <x:c r="Q40" s="21"/>
      <x:c r="R40" s="30" t="str">
        <x:f>IF(C40="","",IF(OR(N40&lt;&gt;"Sí",O40="X"),"Excluido",IF(OR(O40="D",O40="E"),"Exploratorio","Principal")))</x:f>
      </x:c>
      <x:c r="S40" s="32" t="n">
        <x:f>IF(OR(R40="",R40="Excluido"),0,G40*J40/(1+CASO!$E$6)^M40)</x:f>
        <x:v>0</x:v>
      </x:c>
      <x:c r="T40" s="32" t="n">
        <x:f>IF(OR(R40="",R40="Excluido"),0,H40*K40/(1+CASO!$E$7)^M40)</x:f>
        <x:v>0</x:v>
      </x:c>
      <x:c r="U40" s="32" t="n">
        <x:f>IF(OR(R40="",R40="Excluido"),0,I40*L40/(1+CASO!$E$8)^M40)</x:f>
        <x:v>0</x:v>
      </x:c>
    </x:row>
    <x:row r="41">
      <x:c r="A41" s="21"/>
      <x:c r="B41" s="21"/>
      <x:c r="C41" s="21"/>
      <x:c r="D41" s="21"/>
      <x:c r="E41" s="21"/>
      <x:c r="F41" s="21"/>
      <x:c r="G41" s="31"/>
      <x:c r="H41" s="31"/>
      <x:c r="I41" s="31"/>
      <x:c r="J41" s="31"/>
      <x:c r="K41" s="31"/>
      <x:c r="L41" s="31"/>
      <x:c r="M41" s="21"/>
      <x:c r="N41" s="21"/>
      <x:c r="O41" s="21"/>
      <x:c r="P41" s="21"/>
      <x:c r="Q41" s="21"/>
      <x:c r="R41" s="30" t="str">
        <x:f>IF(C41="","",IF(OR(N41&lt;&gt;"Sí",O41="X"),"Excluido",IF(OR(O41="D",O41="E"),"Exploratorio","Principal")))</x:f>
      </x:c>
      <x:c r="S41" s="32" t="n">
        <x:f>IF(OR(R41="",R41="Excluido"),0,G41*J41/(1+CASO!$E$6)^M41)</x:f>
        <x:v>0</x:v>
      </x:c>
      <x:c r="T41" s="32" t="n">
        <x:f>IF(OR(R41="",R41="Excluido"),0,H41*K41/(1+CASO!$E$7)^M41)</x:f>
        <x:v>0</x:v>
      </x:c>
      <x:c r="U41" s="32" t="n">
        <x:f>IF(OR(R41="",R41="Excluido"),0,I41*L41/(1+CASO!$E$8)^M41)</x:f>
        <x:v>0</x:v>
      </x:c>
    </x:row>
    <x:row r="42">
      <x:c r="A42" s="21"/>
      <x:c r="B42" s="21"/>
      <x:c r="C42" s="21"/>
      <x:c r="D42" s="21"/>
      <x:c r="E42" s="21"/>
      <x:c r="F42" s="21"/>
      <x:c r="G42" s="31"/>
      <x:c r="H42" s="31"/>
      <x:c r="I42" s="31"/>
      <x:c r="J42" s="31"/>
      <x:c r="K42" s="31"/>
      <x:c r="L42" s="31"/>
      <x:c r="M42" s="21"/>
      <x:c r="N42" s="21"/>
      <x:c r="O42" s="21"/>
      <x:c r="P42" s="21"/>
      <x:c r="Q42" s="21"/>
      <x:c r="R42" s="30" t="str">
        <x:f>IF(C42="","",IF(OR(N42&lt;&gt;"Sí",O42="X"),"Excluido",IF(OR(O42="D",O42="E"),"Exploratorio","Principal")))</x:f>
      </x:c>
      <x:c r="S42" s="32" t="n">
        <x:f>IF(OR(R42="",R42="Excluido"),0,G42*J42/(1+CASO!$E$6)^M42)</x:f>
        <x:v>0</x:v>
      </x:c>
      <x:c r="T42" s="32" t="n">
        <x:f>IF(OR(R42="",R42="Excluido"),0,H42*K42/(1+CASO!$E$7)^M42)</x:f>
        <x:v>0</x:v>
      </x:c>
      <x:c r="U42" s="32" t="n">
        <x:f>IF(OR(R42="",R42="Excluido"),0,I42*L42/(1+CASO!$E$8)^M42)</x:f>
        <x:v>0</x:v>
      </x:c>
    </x:row>
    <x:row r="43">
      <x:c r="A43" s="21"/>
      <x:c r="B43" s="21"/>
      <x:c r="C43" s="21"/>
      <x:c r="D43" s="21"/>
      <x:c r="E43" s="21"/>
      <x:c r="F43" s="21"/>
      <x:c r="G43" s="31"/>
      <x:c r="H43" s="31"/>
      <x:c r="I43" s="31"/>
      <x:c r="J43" s="31"/>
      <x:c r="K43" s="31"/>
      <x:c r="L43" s="31"/>
      <x:c r="M43" s="21"/>
      <x:c r="N43" s="21"/>
      <x:c r="O43" s="21"/>
      <x:c r="P43" s="21"/>
      <x:c r="Q43" s="21"/>
      <x:c r="R43" s="30" t="str">
        <x:f>IF(C43="","",IF(OR(N43&lt;&gt;"Sí",O43="X"),"Excluido",IF(OR(O43="D",O43="E"),"Exploratorio","Principal")))</x:f>
      </x:c>
      <x:c r="S43" s="32" t="n">
        <x:f>IF(OR(R43="",R43="Excluido"),0,G43*J43/(1+CASO!$E$6)^M43)</x:f>
        <x:v>0</x:v>
      </x:c>
      <x:c r="T43" s="32" t="n">
        <x:f>IF(OR(R43="",R43="Excluido"),0,H43*K43/(1+CASO!$E$7)^M43)</x:f>
        <x:v>0</x:v>
      </x:c>
      <x:c r="U43" s="32" t="n">
        <x:f>IF(OR(R43="",R43="Excluido"),0,I43*L43/(1+CASO!$E$8)^M43)</x:f>
        <x:v>0</x:v>
      </x:c>
    </x:row>
    <x:row r="44">
      <x:c r="A44" s="21"/>
      <x:c r="B44" s="21"/>
      <x:c r="C44" s="21"/>
      <x:c r="D44" s="21"/>
      <x:c r="E44" s="21"/>
      <x:c r="F44" s="21"/>
      <x:c r="G44" s="31"/>
      <x:c r="H44" s="31"/>
      <x:c r="I44" s="31"/>
      <x:c r="J44" s="31"/>
      <x:c r="K44" s="31"/>
      <x:c r="L44" s="31"/>
      <x:c r="M44" s="21"/>
      <x:c r="N44" s="21"/>
      <x:c r="O44" s="21"/>
      <x:c r="P44" s="21"/>
      <x:c r="Q44" s="21"/>
      <x:c r="R44" s="30" t="str">
        <x:f>IF(C44="","",IF(OR(N44&lt;&gt;"Sí",O44="X"),"Excluido",IF(OR(O44="D",O44="E"),"Exploratorio","Principal")))</x:f>
      </x:c>
      <x:c r="S44" s="32" t="n">
        <x:f>IF(OR(R44="",R44="Excluido"),0,G44*J44/(1+CASO!$E$6)^M44)</x:f>
        <x:v>0</x:v>
      </x:c>
      <x:c r="T44" s="32" t="n">
        <x:f>IF(OR(R44="",R44="Excluido"),0,H44*K44/(1+CASO!$E$7)^M44)</x:f>
        <x:v>0</x:v>
      </x:c>
      <x:c r="U44" s="32" t="n">
        <x:f>IF(OR(R44="",R44="Excluido"),0,I44*L44/(1+CASO!$E$8)^M44)</x:f>
        <x:v>0</x:v>
      </x:c>
    </x:row>
    <x:row r="45">
      <x:c r="A45" s="21"/>
      <x:c r="B45" s="21"/>
      <x:c r="C45" s="21"/>
      <x:c r="D45" s="21"/>
      <x:c r="E45" s="21"/>
      <x:c r="F45" s="21"/>
      <x:c r="G45" s="31"/>
      <x:c r="H45" s="31"/>
      <x:c r="I45" s="31"/>
      <x:c r="J45" s="31"/>
      <x:c r="K45" s="31"/>
      <x:c r="L45" s="31"/>
      <x:c r="M45" s="21"/>
      <x:c r="N45" s="21"/>
      <x:c r="O45" s="21"/>
      <x:c r="P45" s="21"/>
      <x:c r="Q45" s="21"/>
      <x:c r="R45" s="30" t="str">
        <x:f>IF(C45="","",IF(OR(N45&lt;&gt;"Sí",O45="X"),"Excluido",IF(OR(O45="D",O45="E"),"Exploratorio","Principal")))</x:f>
      </x:c>
      <x:c r="S45" s="32" t="n">
        <x:f>IF(OR(R45="",R45="Excluido"),0,G45*J45/(1+CASO!$E$6)^M45)</x:f>
        <x:v>0</x:v>
      </x:c>
      <x:c r="T45" s="32" t="n">
        <x:f>IF(OR(R45="",R45="Excluido"),0,H45*K45/(1+CASO!$E$7)^M45)</x:f>
        <x:v>0</x:v>
      </x:c>
      <x:c r="U45" s="32" t="n">
        <x:f>IF(OR(R45="",R45="Excluido"),0,I45*L45/(1+CASO!$E$8)^M45)</x:f>
        <x:v>0</x:v>
      </x:c>
    </x:row>
    <x:row r="46">
      <x:c r="A46" s="21"/>
      <x:c r="B46" s="21"/>
      <x:c r="C46" s="21"/>
      <x:c r="D46" s="21"/>
      <x:c r="E46" s="21"/>
      <x:c r="F46" s="21"/>
      <x:c r="G46" s="31"/>
      <x:c r="H46" s="31"/>
      <x:c r="I46" s="31"/>
      <x:c r="J46" s="31"/>
      <x:c r="K46" s="31"/>
      <x:c r="L46" s="31"/>
      <x:c r="M46" s="21"/>
      <x:c r="N46" s="21"/>
      <x:c r="O46" s="21"/>
      <x:c r="P46" s="21"/>
      <x:c r="Q46" s="21"/>
      <x:c r="R46" s="30" t="str">
        <x:f>IF(C46="","",IF(OR(N46&lt;&gt;"Sí",O46="X"),"Excluido",IF(OR(O46="D",O46="E"),"Exploratorio","Principal")))</x:f>
      </x:c>
      <x:c r="S46" s="32" t="n">
        <x:f>IF(OR(R46="",R46="Excluido"),0,G46*J46/(1+CASO!$E$6)^M46)</x:f>
        <x:v>0</x:v>
      </x:c>
      <x:c r="T46" s="32" t="n">
        <x:f>IF(OR(R46="",R46="Excluido"),0,H46*K46/(1+CASO!$E$7)^M46)</x:f>
        <x:v>0</x:v>
      </x:c>
      <x:c r="U46" s="32" t="n">
        <x:f>IF(OR(R46="",R46="Excluido"),0,I46*L46/(1+CASO!$E$8)^M46)</x:f>
        <x:v>0</x:v>
      </x:c>
    </x:row>
    <x:row r="47">
      <x:c r="A47" s="21"/>
      <x:c r="B47" s="21"/>
      <x:c r="C47" s="21"/>
      <x:c r="D47" s="21"/>
      <x:c r="E47" s="21"/>
      <x:c r="F47" s="21"/>
      <x:c r="G47" s="31"/>
      <x:c r="H47" s="31"/>
      <x:c r="I47" s="31"/>
      <x:c r="J47" s="31"/>
      <x:c r="K47" s="31"/>
      <x:c r="L47" s="31"/>
      <x:c r="M47" s="21"/>
      <x:c r="N47" s="21"/>
      <x:c r="O47" s="21"/>
      <x:c r="P47" s="21"/>
      <x:c r="Q47" s="21"/>
      <x:c r="R47" s="30" t="str">
        <x:f>IF(C47="","",IF(OR(N47&lt;&gt;"Sí",O47="X"),"Excluido",IF(OR(O47="D",O47="E"),"Exploratorio","Principal")))</x:f>
      </x:c>
      <x:c r="S47" s="32" t="n">
        <x:f>IF(OR(R47="",R47="Excluido"),0,G47*J47/(1+CASO!$E$6)^M47)</x:f>
        <x:v>0</x:v>
      </x:c>
      <x:c r="T47" s="32" t="n">
        <x:f>IF(OR(R47="",R47="Excluido"),0,H47*K47/(1+CASO!$E$7)^M47)</x:f>
        <x:v>0</x:v>
      </x:c>
      <x:c r="U47" s="32" t="n">
        <x:f>IF(OR(R47="",R47="Excluido"),0,I47*L47/(1+CASO!$E$8)^M47)</x:f>
        <x:v>0</x:v>
      </x:c>
    </x:row>
    <x:row r="48">
      <x:c r="A48" s="21"/>
      <x:c r="B48" s="21"/>
      <x:c r="C48" s="21"/>
      <x:c r="D48" s="21"/>
      <x:c r="E48" s="21"/>
      <x:c r="F48" s="21"/>
      <x:c r="G48" s="31"/>
      <x:c r="H48" s="31"/>
      <x:c r="I48" s="31"/>
      <x:c r="J48" s="31"/>
      <x:c r="K48" s="31"/>
      <x:c r="L48" s="31"/>
      <x:c r="M48" s="21"/>
      <x:c r="N48" s="21"/>
      <x:c r="O48" s="21"/>
      <x:c r="P48" s="21"/>
      <x:c r="Q48" s="21"/>
      <x:c r="R48" s="30" t="str">
        <x:f>IF(C48="","",IF(OR(N48&lt;&gt;"Sí",O48="X"),"Excluido",IF(OR(O48="D",O48="E"),"Exploratorio","Principal")))</x:f>
      </x:c>
      <x:c r="S48" s="32" t="n">
        <x:f>IF(OR(R48="",R48="Excluido"),0,G48*J48/(1+CASO!$E$6)^M48)</x:f>
        <x:v>0</x:v>
      </x:c>
      <x:c r="T48" s="32" t="n">
        <x:f>IF(OR(R48="",R48="Excluido"),0,H48*K48/(1+CASO!$E$7)^M48)</x:f>
        <x:v>0</x:v>
      </x:c>
      <x:c r="U48" s="32" t="n">
        <x:f>IF(OR(R48="",R48="Excluido"),0,I48*L48/(1+CASO!$E$8)^M48)</x:f>
        <x:v>0</x:v>
      </x:c>
    </x:row>
    <x:row r="49">
      <x:c r="A49" s="21"/>
      <x:c r="B49" s="21"/>
      <x:c r="C49" s="21"/>
      <x:c r="D49" s="21"/>
      <x:c r="E49" s="21"/>
      <x:c r="F49" s="21"/>
      <x:c r="G49" s="31"/>
      <x:c r="H49" s="31"/>
      <x:c r="I49" s="31"/>
      <x:c r="J49" s="31"/>
      <x:c r="K49" s="31"/>
      <x:c r="L49" s="31"/>
      <x:c r="M49" s="21"/>
      <x:c r="N49" s="21"/>
      <x:c r="O49" s="21"/>
      <x:c r="P49" s="21"/>
      <x:c r="Q49" s="21"/>
      <x:c r="R49" s="30" t="str">
        <x:f>IF(C49="","",IF(OR(N49&lt;&gt;"Sí",O49="X"),"Excluido",IF(OR(O49="D",O49="E"),"Exploratorio","Principal")))</x:f>
      </x:c>
      <x:c r="S49" s="32" t="n">
        <x:f>IF(OR(R49="",R49="Excluido"),0,G49*J49/(1+CASO!$E$6)^M49)</x:f>
        <x:v>0</x:v>
      </x:c>
      <x:c r="T49" s="32" t="n">
        <x:f>IF(OR(R49="",R49="Excluido"),0,H49*K49/(1+CASO!$E$7)^M49)</x:f>
        <x:v>0</x:v>
      </x:c>
      <x:c r="U49" s="32" t="n">
        <x:f>IF(OR(R49="",R49="Excluido"),0,I49*L49/(1+CASO!$E$8)^M49)</x:f>
        <x:v>0</x:v>
      </x:c>
    </x:row>
    <x:row r="50">
      <x:c r="A50" s="21"/>
      <x:c r="B50" s="21"/>
      <x:c r="C50" s="21"/>
      <x:c r="D50" s="21"/>
      <x:c r="E50" s="21"/>
      <x:c r="F50" s="21"/>
      <x:c r="G50" s="31"/>
      <x:c r="H50" s="31"/>
      <x:c r="I50" s="31"/>
      <x:c r="J50" s="31"/>
      <x:c r="K50" s="31"/>
      <x:c r="L50" s="31"/>
      <x:c r="M50" s="21"/>
      <x:c r="N50" s="21"/>
      <x:c r="O50" s="21"/>
      <x:c r="P50" s="21"/>
      <x:c r="Q50" s="21"/>
      <x:c r="R50" s="30" t="str">
        <x:f>IF(C50="","",IF(OR(N50&lt;&gt;"Sí",O50="X"),"Excluido",IF(OR(O50="D",O50="E"),"Exploratorio","Principal")))</x:f>
      </x:c>
      <x:c r="S50" s="32" t="n">
        <x:f>IF(OR(R50="",R50="Excluido"),0,G50*J50/(1+CASO!$E$6)^M50)</x:f>
        <x:v>0</x:v>
      </x:c>
      <x:c r="T50" s="32" t="n">
        <x:f>IF(OR(R50="",R50="Excluido"),0,H50*K50/(1+CASO!$E$7)^M50)</x:f>
        <x:v>0</x:v>
      </x:c>
      <x:c r="U50" s="32" t="n">
        <x:f>IF(OR(R50="",R50="Excluido"),0,I50*L50/(1+CASO!$E$8)^M50)</x:f>
        <x:v>0</x:v>
      </x:c>
    </x:row>
    <x:row r="51">
      <x:c r="A51" s="21"/>
      <x:c r="B51" s="21"/>
      <x:c r="C51" s="21"/>
      <x:c r="D51" s="21"/>
      <x:c r="E51" s="21"/>
      <x:c r="F51" s="21"/>
      <x:c r="G51" s="31"/>
      <x:c r="H51" s="31"/>
      <x:c r="I51" s="31"/>
      <x:c r="J51" s="31"/>
      <x:c r="K51" s="31"/>
      <x:c r="L51" s="31"/>
      <x:c r="M51" s="21"/>
      <x:c r="N51" s="21"/>
      <x:c r="O51" s="21"/>
      <x:c r="P51" s="21"/>
      <x:c r="Q51" s="21"/>
      <x:c r="R51" s="30" t="str">
        <x:f>IF(C51="","",IF(OR(N51&lt;&gt;"Sí",O51="X"),"Excluido",IF(OR(O51="D",O51="E"),"Exploratorio","Principal")))</x:f>
      </x:c>
      <x:c r="S51" s="32" t="n">
        <x:f>IF(OR(R51="",R51="Excluido"),0,G51*J51/(1+CASO!$E$6)^M51)</x:f>
        <x:v>0</x:v>
      </x:c>
      <x:c r="T51" s="32" t="n">
        <x:f>IF(OR(R51="",R51="Excluido"),0,H51*K51/(1+CASO!$E$7)^M51)</x:f>
        <x:v>0</x:v>
      </x:c>
      <x:c r="U51" s="32" t="n">
        <x:f>IF(OR(R51="",R51="Excluido"),0,I51*L51/(1+CASO!$E$8)^M51)</x:f>
        <x:v>0</x:v>
      </x:c>
    </x:row>
    <x:row r="52">
      <x:c r="A52" s="21"/>
      <x:c r="B52" s="21"/>
      <x:c r="C52" s="21"/>
      <x:c r="D52" s="21"/>
      <x:c r="E52" s="21"/>
      <x:c r="F52" s="21"/>
      <x:c r="G52" s="31"/>
      <x:c r="H52" s="31"/>
      <x:c r="I52" s="31"/>
      <x:c r="J52" s="31"/>
      <x:c r="K52" s="31"/>
      <x:c r="L52" s="31"/>
      <x:c r="M52" s="21"/>
      <x:c r="N52" s="21"/>
      <x:c r="O52" s="21"/>
      <x:c r="P52" s="21"/>
      <x:c r="Q52" s="21"/>
      <x:c r="R52" s="30" t="str">
        <x:f>IF(C52="","",IF(OR(N52&lt;&gt;"Sí",O52="X"),"Excluido",IF(OR(O52="D",O52="E"),"Exploratorio","Principal")))</x:f>
      </x:c>
      <x:c r="S52" s="32" t="n">
        <x:f>IF(OR(R52="",R52="Excluido"),0,G52*J52/(1+CASO!$E$6)^M52)</x:f>
        <x:v>0</x:v>
      </x:c>
      <x:c r="T52" s="32" t="n">
        <x:f>IF(OR(R52="",R52="Excluido"),0,H52*K52/(1+CASO!$E$7)^M52)</x:f>
        <x:v>0</x:v>
      </x:c>
      <x:c r="U52" s="32" t="n">
        <x:f>IF(OR(R52="",R52="Excluido"),0,I52*L52/(1+CASO!$E$8)^M52)</x:f>
        <x:v>0</x:v>
      </x:c>
    </x:row>
    <x:row r="53">
      <x:c r="A53" s="21"/>
      <x:c r="B53" s="21"/>
      <x:c r="C53" s="21"/>
      <x:c r="D53" s="21"/>
      <x:c r="E53" s="21"/>
      <x:c r="F53" s="21"/>
      <x:c r="G53" s="31"/>
      <x:c r="H53" s="31"/>
      <x:c r="I53" s="31"/>
      <x:c r="J53" s="31"/>
      <x:c r="K53" s="31"/>
      <x:c r="L53" s="31"/>
      <x:c r="M53" s="21"/>
      <x:c r="N53" s="21"/>
      <x:c r="O53" s="21"/>
      <x:c r="P53" s="21"/>
      <x:c r="Q53" s="21"/>
      <x:c r="R53" s="30" t="str">
        <x:f>IF(C53="","",IF(OR(N53&lt;&gt;"Sí",O53="X"),"Excluido",IF(OR(O53="D",O53="E"),"Exploratorio","Principal")))</x:f>
      </x:c>
      <x:c r="S53" s="32" t="n">
        <x:f>IF(OR(R53="",R53="Excluido"),0,G53*J53/(1+CASO!$E$6)^M53)</x:f>
        <x:v>0</x:v>
      </x:c>
      <x:c r="T53" s="32" t="n">
        <x:f>IF(OR(R53="",R53="Excluido"),0,H53*K53/(1+CASO!$E$7)^M53)</x:f>
        <x:v>0</x:v>
      </x:c>
      <x:c r="U53" s="32" t="n">
        <x:f>IF(OR(R53="",R53="Excluido"),0,I53*L53/(1+CASO!$E$8)^M53)</x:f>
        <x:v>0</x:v>
      </x:c>
    </x:row>
    <x:row r="54">
      <x:c r="A54" s="21"/>
      <x:c r="B54" s="21"/>
      <x:c r="C54" s="21"/>
      <x:c r="D54" s="21"/>
      <x:c r="E54" s="21"/>
      <x:c r="F54" s="21"/>
      <x:c r="G54" s="31"/>
      <x:c r="H54" s="31"/>
      <x:c r="I54" s="31"/>
      <x:c r="J54" s="31"/>
      <x:c r="K54" s="31"/>
      <x:c r="L54" s="31"/>
      <x:c r="M54" s="21"/>
      <x:c r="N54" s="21"/>
      <x:c r="O54" s="21"/>
      <x:c r="P54" s="21"/>
      <x:c r="Q54" s="21"/>
      <x:c r="R54" s="30" t="str">
        <x:f>IF(C54="","",IF(OR(N54&lt;&gt;"Sí",O54="X"),"Excluido",IF(OR(O54="D",O54="E"),"Exploratorio","Principal")))</x:f>
      </x:c>
      <x:c r="S54" s="32" t="n">
        <x:f>IF(OR(R54="",R54="Excluido"),0,G54*J54/(1+CASO!$E$6)^M54)</x:f>
        <x:v>0</x:v>
      </x:c>
      <x:c r="T54" s="32" t="n">
        <x:f>IF(OR(R54="",R54="Excluido"),0,H54*K54/(1+CASO!$E$7)^M54)</x:f>
        <x:v>0</x:v>
      </x:c>
      <x:c r="U54" s="32" t="n">
        <x:f>IF(OR(R54="",R54="Excluido"),0,I54*L54/(1+CASO!$E$8)^M54)</x:f>
        <x:v>0</x:v>
      </x:c>
    </x:row>
    <x:row r="55">
      <x:c r="A55" s="21"/>
      <x:c r="B55" s="21"/>
      <x:c r="C55" s="21"/>
      <x:c r="D55" s="21"/>
      <x:c r="E55" s="21"/>
      <x:c r="F55" s="21"/>
      <x:c r="G55" s="31"/>
      <x:c r="H55" s="31"/>
      <x:c r="I55" s="31"/>
      <x:c r="J55" s="31"/>
      <x:c r="K55" s="31"/>
      <x:c r="L55" s="31"/>
      <x:c r="M55" s="21"/>
      <x:c r="N55" s="21"/>
      <x:c r="O55" s="21"/>
      <x:c r="P55" s="21"/>
      <x:c r="Q55" s="21"/>
      <x:c r="R55" s="30" t="str">
        <x:f>IF(C55="","",IF(OR(N55&lt;&gt;"Sí",O55="X"),"Excluido",IF(OR(O55="D",O55="E"),"Exploratorio","Principal")))</x:f>
      </x:c>
      <x:c r="S55" s="32" t="n">
        <x:f>IF(OR(R55="",R55="Excluido"),0,G55*J55/(1+CASO!$E$6)^M55)</x:f>
        <x:v>0</x:v>
      </x:c>
      <x:c r="T55" s="32" t="n">
        <x:f>IF(OR(R55="",R55="Excluido"),0,H55*K55/(1+CASO!$E$7)^M55)</x:f>
        <x:v>0</x:v>
      </x:c>
      <x:c r="U55" s="32" t="n">
        <x:f>IF(OR(R55="",R55="Excluido"),0,I55*L55/(1+CASO!$E$8)^M55)</x:f>
        <x:v>0</x:v>
      </x:c>
    </x:row>
    <x:row r="56">
      <x:c r="A56" s="21"/>
      <x:c r="B56" s="21"/>
      <x:c r="C56" s="21"/>
      <x:c r="D56" s="21"/>
      <x:c r="E56" s="21"/>
      <x:c r="F56" s="21"/>
      <x:c r="G56" s="31"/>
      <x:c r="H56" s="31"/>
      <x:c r="I56" s="31"/>
      <x:c r="J56" s="31"/>
      <x:c r="K56" s="31"/>
      <x:c r="L56" s="31"/>
      <x:c r="M56" s="21"/>
      <x:c r="N56" s="21"/>
      <x:c r="O56" s="21"/>
      <x:c r="P56" s="21"/>
      <x:c r="Q56" s="21"/>
      <x:c r="R56" s="30" t="str">
        <x:f>IF(C56="","",IF(OR(N56&lt;&gt;"Sí",O56="X"),"Excluido",IF(OR(O56="D",O56="E"),"Exploratorio","Principal")))</x:f>
      </x:c>
      <x:c r="S56" s="32" t="n">
        <x:f>IF(OR(R56="",R56="Excluido"),0,G56*J56/(1+CASO!$E$6)^M56)</x:f>
        <x:v>0</x:v>
      </x:c>
      <x:c r="T56" s="32" t="n">
        <x:f>IF(OR(R56="",R56="Excluido"),0,H56*K56/(1+CASO!$E$7)^M56)</x:f>
        <x:v>0</x:v>
      </x:c>
      <x:c r="U56" s="32" t="n">
        <x:f>IF(OR(R56="",R56="Excluido"),0,I56*L56/(1+CASO!$E$8)^M56)</x:f>
        <x:v>0</x:v>
      </x:c>
    </x:row>
    <x:row r="57">
      <x:c r="A57" s="21"/>
      <x:c r="B57" s="21"/>
      <x:c r="C57" s="21"/>
      <x:c r="D57" s="21"/>
      <x:c r="E57" s="21"/>
      <x:c r="F57" s="21"/>
      <x:c r="G57" s="31"/>
      <x:c r="H57" s="31"/>
      <x:c r="I57" s="31"/>
      <x:c r="J57" s="31"/>
      <x:c r="K57" s="31"/>
      <x:c r="L57" s="31"/>
      <x:c r="M57" s="21"/>
      <x:c r="N57" s="21"/>
      <x:c r="O57" s="21"/>
      <x:c r="P57" s="21"/>
      <x:c r="Q57" s="21"/>
      <x:c r="R57" s="30" t="str">
        <x:f>IF(C57="","",IF(OR(N57&lt;&gt;"Sí",O57="X"),"Excluido",IF(OR(O57="D",O57="E"),"Exploratorio","Principal")))</x:f>
      </x:c>
      <x:c r="S57" s="32" t="n">
        <x:f>IF(OR(R57="",R57="Excluido"),0,G57*J57/(1+CASO!$E$6)^M57)</x:f>
        <x:v>0</x:v>
      </x:c>
      <x:c r="T57" s="32" t="n">
        <x:f>IF(OR(R57="",R57="Excluido"),0,H57*K57/(1+CASO!$E$7)^M57)</x:f>
        <x:v>0</x:v>
      </x:c>
      <x:c r="U57" s="32" t="n">
        <x:f>IF(OR(R57="",R57="Excluido"),0,I57*L57/(1+CASO!$E$8)^M57)</x:f>
        <x:v>0</x:v>
      </x:c>
    </x:row>
    <x:row r="58">
      <x:c r="A58" s="21"/>
      <x:c r="B58" s="21"/>
      <x:c r="C58" s="21"/>
      <x:c r="D58" s="21"/>
      <x:c r="E58" s="21"/>
      <x:c r="F58" s="21"/>
      <x:c r="G58" s="31"/>
      <x:c r="H58" s="31"/>
      <x:c r="I58" s="31"/>
      <x:c r="J58" s="31"/>
      <x:c r="K58" s="31"/>
      <x:c r="L58" s="31"/>
      <x:c r="M58" s="21"/>
      <x:c r="N58" s="21"/>
      <x:c r="O58" s="21"/>
      <x:c r="P58" s="21"/>
      <x:c r="Q58" s="21"/>
      <x:c r="R58" s="30" t="str">
        <x:f>IF(C58="","",IF(OR(N58&lt;&gt;"Sí",O58="X"),"Excluido",IF(OR(O58="D",O58="E"),"Exploratorio","Principal")))</x:f>
      </x:c>
      <x:c r="S58" s="32" t="n">
        <x:f>IF(OR(R58="",R58="Excluido"),0,G58*J58/(1+CASO!$E$6)^M58)</x:f>
        <x:v>0</x:v>
      </x:c>
      <x:c r="T58" s="32" t="n">
        <x:f>IF(OR(R58="",R58="Excluido"),0,H58*K58/(1+CASO!$E$7)^M58)</x:f>
        <x:v>0</x:v>
      </x:c>
      <x:c r="U58" s="32" t="n">
        <x:f>IF(OR(R58="",R58="Excluido"),0,I58*L58/(1+CASO!$E$8)^M58)</x:f>
        <x:v>0</x:v>
      </x:c>
    </x:row>
    <x:row r="59">
      <x:c r="A59" s="21"/>
      <x:c r="B59" s="21"/>
      <x:c r="C59" s="21"/>
      <x:c r="D59" s="21"/>
      <x:c r="E59" s="21"/>
      <x:c r="F59" s="21"/>
      <x:c r="G59" s="31"/>
      <x:c r="H59" s="31"/>
      <x:c r="I59" s="31"/>
      <x:c r="J59" s="31"/>
      <x:c r="K59" s="31"/>
      <x:c r="L59" s="31"/>
      <x:c r="M59" s="21"/>
      <x:c r="N59" s="21"/>
      <x:c r="O59" s="21"/>
      <x:c r="P59" s="21"/>
      <x:c r="Q59" s="21"/>
      <x:c r="R59" s="30" t="str">
        <x:f>IF(C59="","",IF(OR(N59&lt;&gt;"Sí",O59="X"),"Excluido",IF(OR(O59="D",O59="E"),"Exploratorio","Principal")))</x:f>
      </x:c>
      <x:c r="S59" s="32" t="n">
        <x:f>IF(OR(R59="",R59="Excluido"),0,G59*J59/(1+CASO!$E$6)^M59)</x:f>
        <x:v>0</x:v>
      </x:c>
      <x:c r="T59" s="32" t="n">
        <x:f>IF(OR(R59="",R59="Excluido"),0,H59*K59/(1+CASO!$E$7)^M59)</x:f>
        <x:v>0</x:v>
      </x:c>
      <x:c r="U59" s="32" t="n">
        <x:f>IF(OR(R59="",R59="Excluido"),0,I59*L59/(1+CASO!$E$8)^M59)</x:f>
        <x:v>0</x:v>
      </x:c>
    </x:row>
    <x:row r="60">
      <x:c r="A60" s="21"/>
      <x:c r="B60" s="21"/>
      <x:c r="C60" s="21"/>
      <x:c r="D60" s="21"/>
      <x:c r="E60" s="21"/>
      <x:c r="F60" s="21"/>
      <x:c r="G60" s="31"/>
      <x:c r="H60" s="31"/>
      <x:c r="I60" s="31"/>
      <x:c r="J60" s="31"/>
      <x:c r="K60" s="31"/>
      <x:c r="L60" s="31"/>
      <x:c r="M60" s="21"/>
      <x:c r="N60" s="21"/>
      <x:c r="O60" s="21"/>
      <x:c r="P60" s="21"/>
      <x:c r="Q60" s="21"/>
      <x:c r="R60" s="30" t="str">
        <x:f>IF(C60="","",IF(OR(N60&lt;&gt;"Sí",O60="X"),"Excluido",IF(OR(O60="D",O60="E"),"Exploratorio","Principal")))</x:f>
      </x:c>
      <x:c r="S60" s="32" t="n">
        <x:f>IF(OR(R60="",R60="Excluido"),0,G60*J60/(1+CASO!$E$6)^M60)</x:f>
        <x:v>0</x:v>
      </x:c>
      <x:c r="T60" s="32" t="n">
        <x:f>IF(OR(R60="",R60="Excluido"),0,H60*K60/(1+CASO!$E$7)^M60)</x:f>
        <x:v>0</x:v>
      </x:c>
      <x:c r="U60" s="32" t="n">
        <x:f>IF(OR(R60="",R60="Excluido"),0,I60*L60/(1+CASO!$E$8)^M60)</x:f>
        <x:v>0</x:v>
      </x:c>
    </x:row>
    <x:row r="61">
      <x:c r="A61" s="21"/>
      <x:c r="B61" s="21"/>
      <x:c r="C61" s="21"/>
      <x:c r="D61" s="21"/>
      <x:c r="E61" s="21"/>
      <x:c r="F61" s="21"/>
      <x:c r="G61" s="31"/>
      <x:c r="H61" s="31"/>
      <x:c r="I61" s="31"/>
      <x:c r="J61" s="31"/>
      <x:c r="K61" s="31"/>
      <x:c r="L61" s="31"/>
      <x:c r="M61" s="21"/>
      <x:c r="N61" s="21"/>
      <x:c r="O61" s="21"/>
      <x:c r="P61" s="21"/>
      <x:c r="Q61" s="21"/>
      <x:c r="R61" s="30" t="str">
        <x:f>IF(C61="","",IF(OR(N61&lt;&gt;"Sí",O61="X"),"Excluido",IF(OR(O61="D",O61="E"),"Exploratorio","Principal")))</x:f>
      </x:c>
      <x:c r="S61" s="32" t="n">
        <x:f>IF(OR(R61="",R61="Excluido"),0,G61*J61/(1+CASO!$E$6)^M61)</x:f>
        <x:v>0</x:v>
      </x:c>
      <x:c r="T61" s="32" t="n">
        <x:f>IF(OR(R61="",R61="Excluido"),0,H61*K61/(1+CASO!$E$7)^M61)</x:f>
        <x:v>0</x:v>
      </x:c>
      <x:c r="U61" s="32" t="n">
        <x:f>IF(OR(R61="",R61="Excluido"),0,I61*L61/(1+CASO!$E$8)^M61)</x:f>
        <x:v>0</x:v>
      </x:c>
    </x:row>
    <x:row r="62">
      <x:c r="A62" s="21"/>
      <x:c r="B62" s="21"/>
      <x:c r="C62" s="21"/>
      <x:c r="D62" s="21"/>
      <x:c r="E62" s="21"/>
      <x:c r="F62" s="21"/>
      <x:c r="G62" s="31"/>
      <x:c r="H62" s="31"/>
      <x:c r="I62" s="31"/>
      <x:c r="J62" s="31"/>
      <x:c r="K62" s="31"/>
      <x:c r="L62" s="31"/>
      <x:c r="M62" s="21"/>
      <x:c r="N62" s="21"/>
      <x:c r="O62" s="21"/>
      <x:c r="P62" s="21"/>
      <x:c r="Q62" s="21"/>
      <x:c r="R62" s="30" t="str">
        <x:f>IF(C62="","",IF(OR(N62&lt;&gt;"Sí",O62="X"),"Excluido",IF(OR(O62="D",O62="E"),"Exploratorio","Principal")))</x:f>
      </x:c>
      <x:c r="S62" s="32" t="n">
        <x:f>IF(OR(R62="",R62="Excluido"),0,G62*J62/(1+CASO!$E$6)^M62)</x:f>
        <x:v>0</x:v>
      </x:c>
      <x:c r="T62" s="32" t="n">
        <x:f>IF(OR(R62="",R62="Excluido"),0,H62*K62/(1+CASO!$E$7)^M62)</x:f>
        <x:v>0</x:v>
      </x:c>
      <x:c r="U62" s="32" t="n">
        <x:f>IF(OR(R62="",R62="Excluido"),0,I62*L62/(1+CASO!$E$8)^M62)</x:f>
        <x:v>0</x:v>
      </x:c>
    </x:row>
    <x:row r="63">
      <x:c r="A63" s="21"/>
      <x:c r="B63" s="21"/>
      <x:c r="C63" s="21"/>
      <x:c r="D63" s="21"/>
      <x:c r="E63" s="21"/>
      <x:c r="F63" s="21"/>
      <x:c r="G63" s="31"/>
      <x:c r="H63" s="31"/>
      <x:c r="I63" s="31"/>
      <x:c r="J63" s="31"/>
      <x:c r="K63" s="31"/>
      <x:c r="L63" s="31"/>
      <x:c r="M63" s="21"/>
      <x:c r="N63" s="21"/>
      <x:c r="O63" s="21"/>
      <x:c r="P63" s="21"/>
      <x:c r="Q63" s="21"/>
      <x:c r="R63" s="30" t="str">
        <x:f>IF(C63="","",IF(OR(N63&lt;&gt;"Sí",O63="X"),"Excluido",IF(OR(O63="D",O63="E"),"Exploratorio","Principal")))</x:f>
      </x:c>
      <x:c r="S63" s="32" t="n">
        <x:f>IF(OR(R63="",R63="Excluido"),0,G63*J63/(1+CASO!$E$6)^M63)</x:f>
        <x:v>0</x:v>
      </x:c>
      <x:c r="T63" s="32" t="n">
        <x:f>IF(OR(R63="",R63="Excluido"),0,H63*K63/(1+CASO!$E$7)^M63)</x:f>
        <x:v>0</x:v>
      </x:c>
      <x:c r="U63" s="32" t="n">
        <x:f>IF(OR(R63="",R63="Excluido"),0,I63*L63/(1+CASO!$E$8)^M63)</x:f>
        <x:v>0</x:v>
      </x:c>
    </x:row>
    <x:row r="64">
      <x:c r="A64" s="21"/>
      <x:c r="B64" s="21"/>
      <x:c r="C64" s="21"/>
      <x:c r="D64" s="21"/>
      <x:c r="E64" s="21"/>
      <x:c r="F64" s="21"/>
      <x:c r="G64" s="31"/>
      <x:c r="H64" s="31"/>
      <x:c r="I64" s="31"/>
      <x:c r="J64" s="31"/>
      <x:c r="K64" s="31"/>
      <x:c r="L64" s="31"/>
      <x:c r="M64" s="21"/>
      <x:c r="N64" s="21"/>
      <x:c r="O64" s="21"/>
      <x:c r="P64" s="21"/>
      <x:c r="Q64" s="21"/>
      <x:c r="R64" s="30" t="str">
        <x:f>IF(C64="","",IF(OR(N64&lt;&gt;"Sí",O64="X"),"Excluido",IF(OR(O64="D",O64="E"),"Exploratorio","Principal")))</x:f>
      </x:c>
      <x:c r="S64" s="32" t="n">
        <x:f>IF(OR(R64="",R64="Excluido"),0,G64*J64/(1+CASO!$E$6)^M64)</x:f>
        <x:v>0</x:v>
      </x:c>
      <x:c r="T64" s="32" t="n">
        <x:f>IF(OR(R64="",R64="Excluido"),0,H64*K64/(1+CASO!$E$7)^M64)</x:f>
        <x:v>0</x:v>
      </x:c>
      <x:c r="U64" s="32" t="n">
        <x:f>IF(OR(R64="",R64="Excluido"),0,I64*L64/(1+CASO!$E$8)^M64)</x:f>
        <x:v>0</x:v>
      </x:c>
    </x:row>
    <x:row r="65">
      <x:c r="A65" s="21"/>
      <x:c r="B65" s="21"/>
      <x:c r="C65" s="21"/>
      <x:c r="D65" s="21"/>
      <x:c r="E65" s="21"/>
      <x:c r="F65" s="21"/>
      <x:c r="G65" s="31"/>
      <x:c r="H65" s="31"/>
      <x:c r="I65" s="31"/>
      <x:c r="J65" s="31"/>
      <x:c r="K65" s="31"/>
      <x:c r="L65" s="31"/>
      <x:c r="M65" s="21"/>
      <x:c r="N65" s="21"/>
      <x:c r="O65" s="21"/>
      <x:c r="P65" s="21"/>
      <x:c r="Q65" s="21"/>
      <x:c r="R65" s="30" t="str">
        <x:f>IF(C65="","",IF(OR(N65&lt;&gt;"Sí",O65="X"),"Excluido",IF(OR(O65="D",O65="E"),"Exploratorio","Principal")))</x:f>
      </x:c>
      <x:c r="S65" s="32" t="n">
        <x:f>IF(OR(R65="",R65="Excluido"),0,G65*J65/(1+CASO!$E$6)^M65)</x:f>
        <x:v>0</x:v>
      </x:c>
      <x:c r="T65" s="32" t="n">
        <x:f>IF(OR(R65="",R65="Excluido"),0,H65*K65/(1+CASO!$E$7)^M65)</x:f>
        <x:v>0</x:v>
      </x:c>
      <x:c r="U65" s="32" t="n">
        <x:f>IF(OR(R65="",R65="Excluido"),0,I65*L65/(1+CASO!$E$8)^M65)</x:f>
        <x:v>0</x:v>
      </x:c>
    </x:row>
    <x:row r="66">
      <x:c r="A66" s="21"/>
      <x:c r="B66" s="21"/>
      <x:c r="C66" s="21"/>
      <x:c r="D66" s="21"/>
      <x:c r="E66" s="21"/>
      <x:c r="F66" s="21"/>
      <x:c r="G66" s="31"/>
      <x:c r="H66" s="31"/>
      <x:c r="I66" s="31"/>
      <x:c r="J66" s="31"/>
      <x:c r="K66" s="31"/>
      <x:c r="L66" s="31"/>
      <x:c r="M66" s="21"/>
      <x:c r="N66" s="21"/>
      <x:c r="O66" s="21"/>
      <x:c r="P66" s="21"/>
      <x:c r="Q66" s="21"/>
      <x:c r="R66" s="30" t="str">
        <x:f>IF(C66="","",IF(OR(N66&lt;&gt;"Sí",O66="X"),"Excluido",IF(OR(O66="D",O66="E"),"Exploratorio","Principal")))</x:f>
      </x:c>
      <x:c r="S66" s="32" t="n">
        <x:f>IF(OR(R66="",R66="Excluido"),0,G66*J66/(1+CASO!$E$6)^M66)</x:f>
        <x:v>0</x:v>
      </x:c>
      <x:c r="T66" s="32" t="n">
        <x:f>IF(OR(R66="",R66="Excluido"),0,H66*K66/(1+CASO!$E$7)^M66)</x:f>
        <x:v>0</x:v>
      </x:c>
      <x:c r="U66" s="32" t="n">
        <x:f>IF(OR(R66="",R66="Excluido"),0,I66*L66/(1+CASO!$E$8)^M66)</x:f>
        <x:v>0</x:v>
      </x:c>
    </x:row>
    <x:row r="67">
      <x:c r="A67" s="21"/>
      <x:c r="B67" s="21"/>
      <x:c r="C67" s="21"/>
      <x:c r="D67" s="21"/>
      <x:c r="E67" s="21"/>
      <x:c r="F67" s="21"/>
      <x:c r="G67" s="31"/>
      <x:c r="H67" s="31"/>
      <x:c r="I67" s="31"/>
      <x:c r="J67" s="31"/>
      <x:c r="K67" s="31"/>
      <x:c r="L67" s="31"/>
      <x:c r="M67" s="21"/>
      <x:c r="N67" s="21"/>
      <x:c r="O67" s="21"/>
      <x:c r="P67" s="21"/>
      <x:c r="Q67" s="21"/>
      <x:c r="R67" s="30" t="str">
        <x:f>IF(C67="","",IF(OR(N67&lt;&gt;"Sí",O67="X"),"Excluido",IF(OR(O67="D",O67="E"),"Exploratorio","Principal")))</x:f>
      </x:c>
      <x:c r="S67" s="32" t="n">
        <x:f>IF(OR(R67="",R67="Excluido"),0,G67*J67/(1+CASO!$E$6)^M67)</x:f>
        <x:v>0</x:v>
      </x:c>
      <x:c r="T67" s="32" t="n">
        <x:f>IF(OR(R67="",R67="Excluido"),0,H67*K67/(1+CASO!$E$7)^M67)</x:f>
        <x:v>0</x:v>
      </x:c>
      <x:c r="U67" s="32" t="n">
        <x:f>IF(OR(R67="",R67="Excluido"),0,I67*L67/(1+CASO!$E$8)^M67)</x:f>
        <x:v>0</x:v>
      </x:c>
    </x:row>
    <x:row r="68">
      <x:c r="A68" s="21"/>
      <x:c r="B68" s="21"/>
      <x:c r="C68" s="21"/>
      <x:c r="D68" s="21"/>
      <x:c r="E68" s="21"/>
      <x:c r="F68" s="21"/>
      <x:c r="G68" s="31"/>
      <x:c r="H68" s="31"/>
      <x:c r="I68" s="31"/>
      <x:c r="J68" s="31"/>
      <x:c r="K68" s="31"/>
      <x:c r="L68" s="31"/>
      <x:c r="M68" s="21"/>
      <x:c r="N68" s="21"/>
      <x:c r="O68" s="21"/>
      <x:c r="P68" s="21"/>
      <x:c r="Q68" s="21"/>
      <x:c r="R68" s="30" t="str">
        <x:f>IF(C68="","",IF(OR(N68&lt;&gt;"Sí",O68="X"),"Excluido",IF(OR(O68="D",O68="E"),"Exploratorio","Principal")))</x:f>
      </x:c>
      <x:c r="S68" s="32" t="n">
        <x:f>IF(OR(R68="",R68="Excluido"),0,G68*J68/(1+CASO!$E$6)^M68)</x:f>
        <x:v>0</x:v>
      </x:c>
      <x:c r="T68" s="32" t="n">
        <x:f>IF(OR(R68="",R68="Excluido"),0,H68*K68/(1+CASO!$E$7)^M68)</x:f>
        <x:v>0</x:v>
      </x:c>
      <x:c r="U68" s="32" t="n">
        <x:f>IF(OR(R68="",R68="Excluido"),0,I68*L68/(1+CASO!$E$8)^M68)</x:f>
        <x:v>0</x:v>
      </x:c>
    </x:row>
    <x:row r="69">
      <x:c r="A69" s="21"/>
      <x:c r="B69" s="21"/>
      <x:c r="C69" s="21"/>
      <x:c r="D69" s="21"/>
      <x:c r="E69" s="21"/>
      <x:c r="F69" s="21"/>
      <x:c r="G69" s="31"/>
      <x:c r="H69" s="31"/>
      <x:c r="I69" s="31"/>
      <x:c r="J69" s="31"/>
      <x:c r="K69" s="31"/>
      <x:c r="L69" s="31"/>
      <x:c r="M69" s="21"/>
      <x:c r="N69" s="21"/>
      <x:c r="O69" s="21"/>
      <x:c r="P69" s="21"/>
      <x:c r="Q69" s="21"/>
      <x:c r="R69" s="30" t="str">
        <x:f>IF(C69="","",IF(OR(N69&lt;&gt;"Sí",O69="X"),"Excluido",IF(OR(O69="D",O69="E"),"Exploratorio","Principal")))</x:f>
      </x:c>
      <x:c r="S69" s="32" t="n">
        <x:f>IF(OR(R69="",R69="Excluido"),0,G69*J69/(1+CASO!$E$6)^M69)</x:f>
        <x:v>0</x:v>
      </x:c>
      <x:c r="T69" s="32" t="n">
        <x:f>IF(OR(R69="",R69="Excluido"),0,H69*K69/(1+CASO!$E$7)^M69)</x:f>
        <x:v>0</x:v>
      </x:c>
      <x:c r="U69" s="32" t="n">
        <x:f>IF(OR(R69="",R69="Excluido"),0,I69*L69/(1+CASO!$E$8)^M69)</x:f>
        <x:v>0</x:v>
      </x:c>
    </x:row>
    <x:row r="70">
      <x:c r="A70" s="21"/>
      <x:c r="B70" s="21"/>
      <x:c r="C70" s="21"/>
      <x:c r="D70" s="21"/>
      <x:c r="E70" s="21"/>
      <x:c r="F70" s="21"/>
      <x:c r="G70" s="31"/>
      <x:c r="H70" s="31"/>
      <x:c r="I70" s="31"/>
      <x:c r="J70" s="31"/>
      <x:c r="K70" s="31"/>
      <x:c r="L70" s="31"/>
      <x:c r="M70" s="21"/>
      <x:c r="N70" s="21"/>
      <x:c r="O70" s="21"/>
      <x:c r="P70" s="21"/>
      <x:c r="Q70" s="21"/>
      <x:c r="R70" s="30" t="str">
        <x:f>IF(C70="","",IF(OR(N70&lt;&gt;"Sí",O70="X"),"Excluido",IF(OR(O70="D",O70="E"),"Exploratorio","Principal")))</x:f>
      </x:c>
      <x:c r="S70" s="32" t="n">
        <x:f>IF(OR(R70="",R70="Excluido"),0,G70*J70/(1+CASO!$E$6)^M70)</x:f>
        <x:v>0</x:v>
      </x:c>
      <x:c r="T70" s="32" t="n">
        <x:f>IF(OR(R70="",R70="Excluido"),0,H70*K70/(1+CASO!$E$7)^M70)</x:f>
        <x:v>0</x:v>
      </x:c>
      <x:c r="U70" s="32" t="n">
        <x:f>IF(OR(R70="",R70="Excluido"),0,I70*L70/(1+CASO!$E$8)^M70)</x:f>
        <x:v>0</x:v>
      </x:c>
    </x:row>
    <x:row r="71">
      <x:c r="A71" s="21"/>
      <x:c r="B71" s="21"/>
      <x:c r="C71" s="21"/>
      <x:c r="D71" s="21"/>
      <x:c r="E71" s="21"/>
      <x:c r="F71" s="21"/>
      <x:c r="G71" s="31"/>
      <x:c r="H71" s="31"/>
      <x:c r="I71" s="31"/>
      <x:c r="J71" s="31"/>
      <x:c r="K71" s="31"/>
      <x:c r="L71" s="31"/>
      <x:c r="M71" s="21"/>
      <x:c r="N71" s="21"/>
      <x:c r="O71" s="21"/>
      <x:c r="P71" s="21"/>
      <x:c r="Q71" s="21"/>
      <x:c r="R71" s="30" t="str">
        <x:f>IF(C71="","",IF(OR(N71&lt;&gt;"Sí",O71="X"),"Excluido",IF(OR(O71="D",O71="E"),"Exploratorio","Principal")))</x:f>
      </x:c>
      <x:c r="S71" s="32" t="n">
        <x:f>IF(OR(R71="",R71="Excluido"),0,G71*J71/(1+CASO!$E$6)^M71)</x:f>
        <x:v>0</x:v>
      </x:c>
      <x:c r="T71" s="32" t="n">
        <x:f>IF(OR(R71="",R71="Excluido"),0,H71*K71/(1+CASO!$E$7)^M71)</x:f>
        <x:v>0</x:v>
      </x:c>
      <x:c r="U71" s="32" t="n">
        <x:f>IF(OR(R71="",R71="Excluido"),0,I71*L71/(1+CASO!$E$8)^M71)</x:f>
        <x:v>0</x:v>
      </x:c>
    </x:row>
    <x:row r="72">
      <x:c r="A72" s="21"/>
      <x:c r="B72" s="21"/>
      <x:c r="C72" s="21"/>
      <x:c r="D72" s="21"/>
      <x:c r="E72" s="21"/>
      <x:c r="F72" s="21"/>
      <x:c r="G72" s="31"/>
      <x:c r="H72" s="31"/>
      <x:c r="I72" s="31"/>
      <x:c r="J72" s="31"/>
      <x:c r="K72" s="31"/>
      <x:c r="L72" s="31"/>
      <x:c r="M72" s="21"/>
      <x:c r="N72" s="21"/>
      <x:c r="O72" s="21"/>
      <x:c r="P72" s="21"/>
      <x:c r="Q72" s="21"/>
      <x:c r="R72" s="30" t="str">
        <x:f>IF(C72="","",IF(OR(N72&lt;&gt;"Sí",O72="X"),"Excluido",IF(OR(O72="D",O72="E"),"Exploratorio","Principal")))</x:f>
      </x:c>
      <x:c r="S72" s="32" t="n">
        <x:f>IF(OR(R72="",R72="Excluido"),0,G72*J72/(1+CASO!$E$6)^M72)</x:f>
        <x:v>0</x:v>
      </x:c>
      <x:c r="T72" s="32" t="n">
        <x:f>IF(OR(R72="",R72="Excluido"),0,H72*K72/(1+CASO!$E$7)^M72)</x:f>
        <x:v>0</x:v>
      </x:c>
      <x:c r="U72" s="32" t="n">
        <x:f>IF(OR(R72="",R72="Excluido"),0,I72*L72/(1+CASO!$E$8)^M72)</x:f>
        <x:v>0</x:v>
      </x:c>
    </x:row>
    <x:row r="73">
      <x:c r="A73" s="21"/>
      <x:c r="B73" s="21"/>
      <x:c r="C73" s="21"/>
      <x:c r="D73" s="21"/>
      <x:c r="E73" s="21"/>
      <x:c r="F73" s="21"/>
      <x:c r="G73" s="31"/>
      <x:c r="H73" s="31"/>
      <x:c r="I73" s="31"/>
      <x:c r="J73" s="31"/>
      <x:c r="K73" s="31"/>
      <x:c r="L73" s="31"/>
      <x:c r="M73" s="21"/>
      <x:c r="N73" s="21"/>
      <x:c r="O73" s="21"/>
      <x:c r="P73" s="21"/>
      <x:c r="Q73" s="21"/>
      <x:c r="R73" s="30" t="str">
        <x:f>IF(C73="","",IF(OR(N73&lt;&gt;"Sí",O73="X"),"Excluido",IF(OR(O73="D",O73="E"),"Exploratorio","Principal")))</x:f>
      </x:c>
      <x:c r="S73" s="32" t="n">
        <x:f>IF(OR(R73="",R73="Excluido"),0,G73*J73/(1+CASO!$E$6)^M73)</x:f>
        <x:v>0</x:v>
      </x:c>
      <x:c r="T73" s="32" t="n">
        <x:f>IF(OR(R73="",R73="Excluido"),0,H73*K73/(1+CASO!$E$7)^M73)</x:f>
        <x:v>0</x:v>
      </x:c>
      <x:c r="U73" s="32" t="n">
        <x:f>IF(OR(R73="",R73="Excluido"),0,I73*L73/(1+CASO!$E$8)^M73)</x:f>
        <x:v>0</x:v>
      </x:c>
    </x:row>
    <x:row r="74">
      <x:c r="A74" s="21"/>
      <x:c r="B74" s="21"/>
      <x:c r="C74" s="21"/>
      <x:c r="D74" s="21"/>
      <x:c r="E74" s="21"/>
      <x:c r="F74" s="21"/>
      <x:c r="G74" s="31"/>
      <x:c r="H74" s="31"/>
      <x:c r="I74" s="31"/>
      <x:c r="J74" s="31"/>
      <x:c r="K74" s="31"/>
      <x:c r="L74" s="31"/>
      <x:c r="M74" s="21"/>
      <x:c r="N74" s="21"/>
      <x:c r="O74" s="21"/>
      <x:c r="P74" s="21"/>
      <x:c r="Q74" s="21"/>
      <x:c r="R74" s="30" t="str">
        <x:f>IF(C74="","",IF(OR(N74&lt;&gt;"Sí",O74="X"),"Excluido",IF(OR(O74="D",O74="E"),"Exploratorio","Principal")))</x:f>
      </x:c>
      <x:c r="S74" s="32" t="n">
        <x:f>IF(OR(R74="",R74="Excluido"),0,G74*J74/(1+CASO!$E$6)^M74)</x:f>
        <x:v>0</x:v>
      </x:c>
      <x:c r="T74" s="32" t="n">
        <x:f>IF(OR(R74="",R74="Excluido"),0,H74*K74/(1+CASO!$E$7)^M74)</x:f>
        <x:v>0</x:v>
      </x:c>
      <x:c r="U74" s="32" t="n">
        <x:f>IF(OR(R74="",R74="Excluido"),0,I74*L74/(1+CASO!$E$8)^M74)</x:f>
        <x:v>0</x:v>
      </x:c>
    </x:row>
    <x:row r="75">
      <x:c r="A75" s="21"/>
      <x:c r="B75" s="21"/>
      <x:c r="C75" s="21"/>
      <x:c r="D75" s="21"/>
      <x:c r="E75" s="21"/>
      <x:c r="F75" s="21"/>
      <x:c r="G75" s="31"/>
      <x:c r="H75" s="31"/>
      <x:c r="I75" s="31"/>
      <x:c r="J75" s="31"/>
      <x:c r="K75" s="31"/>
      <x:c r="L75" s="31"/>
      <x:c r="M75" s="21"/>
      <x:c r="N75" s="21"/>
      <x:c r="O75" s="21"/>
      <x:c r="P75" s="21"/>
      <x:c r="Q75" s="21"/>
      <x:c r="R75" s="30" t="str">
        <x:f>IF(C75="","",IF(OR(N75&lt;&gt;"Sí",O75="X"),"Excluido",IF(OR(O75="D",O75="E"),"Exploratorio","Principal")))</x:f>
      </x:c>
      <x:c r="S75" s="32" t="n">
        <x:f>IF(OR(R75="",R75="Excluido"),0,G75*J75/(1+CASO!$E$6)^M75)</x:f>
        <x:v>0</x:v>
      </x:c>
      <x:c r="T75" s="32" t="n">
        <x:f>IF(OR(R75="",R75="Excluido"),0,H75*K75/(1+CASO!$E$7)^M75)</x:f>
        <x:v>0</x:v>
      </x:c>
      <x:c r="U75" s="32" t="n">
        <x:f>IF(OR(R75="",R75="Excluido"),0,I75*L75/(1+CASO!$E$8)^M75)</x:f>
        <x:v>0</x:v>
      </x:c>
    </x:row>
    <x:row r="76">
      <x:c r="A76" s="21"/>
      <x:c r="B76" s="21"/>
      <x:c r="C76" s="21"/>
      <x:c r="D76" s="21"/>
      <x:c r="E76" s="21"/>
      <x:c r="F76" s="21"/>
      <x:c r="G76" s="31"/>
      <x:c r="H76" s="31"/>
      <x:c r="I76" s="31"/>
      <x:c r="J76" s="31"/>
      <x:c r="K76" s="31"/>
      <x:c r="L76" s="31"/>
      <x:c r="M76" s="21"/>
      <x:c r="N76" s="21"/>
      <x:c r="O76" s="21"/>
      <x:c r="P76" s="21"/>
      <x:c r="Q76" s="21"/>
      <x:c r="R76" s="30" t="str">
        <x:f>IF(C76="","",IF(OR(N76&lt;&gt;"Sí",O76="X"),"Excluido",IF(OR(O76="D",O76="E"),"Exploratorio","Principal")))</x:f>
      </x:c>
      <x:c r="S76" s="32" t="n">
        <x:f>IF(OR(R76="",R76="Excluido"),0,G76*J76/(1+CASO!$E$6)^M76)</x:f>
        <x:v>0</x:v>
      </x:c>
      <x:c r="T76" s="32" t="n">
        <x:f>IF(OR(R76="",R76="Excluido"),0,H76*K76/(1+CASO!$E$7)^M76)</x:f>
        <x:v>0</x:v>
      </x:c>
      <x:c r="U76" s="32" t="n">
        <x:f>IF(OR(R76="",R76="Excluido"),0,I76*L76/(1+CASO!$E$8)^M76)</x:f>
        <x:v>0</x:v>
      </x:c>
    </x:row>
    <x:row r="77">
      <x:c r="A77" s="21"/>
      <x:c r="B77" s="21"/>
      <x:c r="C77" s="21"/>
      <x:c r="D77" s="21"/>
      <x:c r="E77" s="21"/>
      <x:c r="F77" s="21"/>
      <x:c r="G77" s="31"/>
      <x:c r="H77" s="31"/>
      <x:c r="I77" s="31"/>
      <x:c r="J77" s="31"/>
      <x:c r="K77" s="31"/>
      <x:c r="L77" s="31"/>
      <x:c r="M77" s="21"/>
      <x:c r="N77" s="21"/>
      <x:c r="O77" s="21"/>
      <x:c r="P77" s="21"/>
      <x:c r="Q77" s="21"/>
      <x:c r="R77" s="30" t="str">
        <x:f>IF(C77="","",IF(OR(N77&lt;&gt;"Sí",O77="X"),"Excluido",IF(OR(O77="D",O77="E"),"Exploratorio","Principal")))</x:f>
      </x:c>
      <x:c r="S77" s="32" t="n">
        <x:f>IF(OR(R77="",R77="Excluido"),0,G77*J77/(1+CASO!$E$6)^M77)</x:f>
        <x:v>0</x:v>
      </x:c>
      <x:c r="T77" s="32" t="n">
        <x:f>IF(OR(R77="",R77="Excluido"),0,H77*K77/(1+CASO!$E$7)^M77)</x:f>
        <x:v>0</x:v>
      </x:c>
      <x:c r="U77" s="32" t="n">
        <x:f>IF(OR(R77="",R77="Excluido"),0,I77*L77/(1+CASO!$E$8)^M77)</x:f>
        <x:v>0</x:v>
      </x:c>
    </x:row>
    <x:row r="78">
      <x:c r="A78" s="21"/>
      <x:c r="B78" s="21"/>
      <x:c r="C78" s="21"/>
      <x:c r="D78" s="21"/>
      <x:c r="E78" s="21"/>
      <x:c r="F78" s="21"/>
      <x:c r="G78" s="31"/>
      <x:c r="H78" s="31"/>
      <x:c r="I78" s="31"/>
      <x:c r="J78" s="31"/>
      <x:c r="K78" s="31"/>
      <x:c r="L78" s="31"/>
      <x:c r="M78" s="21"/>
      <x:c r="N78" s="21"/>
      <x:c r="O78" s="21"/>
      <x:c r="P78" s="21"/>
      <x:c r="Q78" s="21"/>
      <x:c r="R78" s="30" t="str">
        <x:f>IF(C78="","",IF(OR(N78&lt;&gt;"Sí",O78="X"),"Excluido",IF(OR(O78="D",O78="E"),"Exploratorio","Principal")))</x:f>
      </x:c>
      <x:c r="S78" s="32" t="n">
        <x:f>IF(OR(R78="",R78="Excluido"),0,G78*J78/(1+CASO!$E$6)^M78)</x:f>
        <x:v>0</x:v>
      </x:c>
      <x:c r="T78" s="32" t="n">
        <x:f>IF(OR(R78="",R78="Excluido"),0,H78*K78/(1+CASO!$E$7)^M78)</x:f>
        <x:v>0</x:v>
      </x:c>
      <x:c r="U78" s="32" t="n">
        <x:f>IF(OR(R78="",R78="Excluido"),0,I78*L78/(1+CASO!$E$8)^M78)</x:f>
        <x:v>0</x:v>
      </x:c>
    </x:row>
    <x:row r="79">
      <x:c r="A79" s="21"/>
      <x:c r="B79" s="21"/>
      <x:c r="C79" s="21"/>
      <x:c r="D79" s="21"/>
      <x:c r="E79" s="21"/>
      <x:c r="F79" s="21"/>
      <x:c r="G79" s="31"/>
      <x:c r="H79" s="31"/>
      <x:c r="I79" s="31"/>
      <x:c r="J79" s="31"/>
      <x:c r="K79" s="31"/>
      <x:c r="L79" s="31"/>
      <x:c r="M79" s="21"/>
      <x:c r="N79" s="21"/>
      <x:c r="O79" s="21"/>
      <x:c r="P79" s="21"/>
      <x:c r="Q79" s="21"/>
      <x:c r="R79" s="30" t="str">
        <x:f>IF(C79="","",IF(OR(N79&lt;&gt;"Sí",O79="X"),"Excluido",IF(OR(O79="D",O79="E"),"Exploratorio","Principal")))</x:f>
      </x:c>
      <x:c r="S79" s="32" t="n">
        <x:f>IF(OR(R79="",R79="Excluido"),0,G79*J79/(1+CASO!$E$6)^M79)</x:f>
        <x:v>0</x:v>
      </x:c>
      <x:c r="T79" s="32" t="n">
        <x:f>IF(OR(R79="",R79="Excluido"),0,H79*K79/(1+CASO!$E$7)^M79)</x:f>
        <x:v>0</x:v>
      </x:c>
      <x:c r="U79" s="32" t="n">
        <x:f>IF(OR(R79="",R79="Excluido"),0,I79*L79/(1+CASO!$E$8)^M79)</x:f>
        <x:v>0</x:v>
      </x:c>
    </x:row>
    <x:row r="80">
      <x:c r="A80" s="21"/>
      <x:c r="B80" s="21"/>
      <x:c r="C80" s="21"/>
      <x:c r="D80" s="21"/>
      <x:c r="E80" s="21"/>
      <x:c r="F80" s="21"/>
      <x:c r="G80" s="31"/>
      <x:c r="H80" s="31"/>
      <x:c r="I80" s="31"/>
      <x:c r="J80" s="31"/>
      <x:c r="K80" s="31"/>
      <x:c r="L80" s="31"/>
      <x:c r="M80" s="21"/>
      <x:c r="N80" s="21"/>
      <x:c r="O80" s="21"/>
      <x:c r="P80" s="21"/>
      <x:c r="Q80" s="21"/>
      <x:c r="R80" s="30" t="str">
        <x:f>IF(C80="","",IF(OR(N80&lt;&gt;"Sí",O80="X"),"Excluido",IF(OR(O80="D",O80="E"),"Exploratorio","Principal")))</x:f>
      </x:c>
      <x:c r="S80" s="32" t="n">
        <x:f>IF(OR(R80="",R80="Excluido"),0,G80*J80/(1+CASO!$E$6)^M80)</x:f>
        <x:v>0</x:v>
      </x:c>
      <x:c r="T80" s="32" t="n">
        <x:f>IF(OR(R80="",R80="Excluido"),0,H80*K80/(1+CASO!$E$7)^M80)</x:f>
        <x:v>0</x:v>
      </x:c>
      <x:c r="U80" s="32" t="n">
        <x:f>IF(OR(R80="",R80="Excluido"),0,I80*L80/(1+CASO!$E$8)^M80)</x:f>
        <x:v>0</x:v>
      </x:c>
    </x:row>
    <x:row r="81">
      <x:c r="A81" s="21"/>
      <x:c r="B81" s="21"/>
      <x:c r="C81" s="21"/>
      <x:c r="D81" s="21"/>
      <x:c r="E81" s="21"/>
      <x:c r="F81" s="21"/>
      <x:c r="G81" s="31"/>
      <x:c r="H81" s="31"/>
      <x:c r="I81" s="31"/>
      <x:c r="J81" s="31"/>
      <x:c r="K81" s="31"/>
      <x:c r="L81" s="31"/>
      <x:c r="M81" s="21"/>
      <x:c r="N81" s="21"/>
      <x:c r="O81" s="21"/>
      <x:c r="P81" s="21"/>
      <x:c r="Q81" s="21"/>
      <x:c r="R81" s="30" t="str">
        <x:f>IF(C81="","",IF(OR(N81&lt;&gt;"Sí",O81="X"),"Excluido",IF(OR(O81="D",O81="E"),"Exploratorio","Principal")))</x:f>
      </x:c>
      <x:c r="S81" s="32" t="n">
        <x:f>IF(OR(R81="",R81="Excluido"),0,G81*J81/(1+CASO!$E$6)^M81)</x:f>
        <x:v>0</x:v>
      </x:c>
      <x:c r="T81" s="32" t="n">
        <x:f>IF(OR(R81="",R81="Excluido"),0,H81*K81/(1+CASO!$E$7)^M81)</x:f>
        <x:v>0</x:v>
      </x:c>
      <x:c r="U81" s="32" t="n">
        <x:f>IF(OR(R81="",R81="Excluido"),0,I81*L81/(1+CASO!$E$8)^M81)</x:f>
        <x:v>0</x:v>
      </x:c>
    </x:row>
    <x:row r="82">
      <x:c r="A82" s="21"/>
      <x:c r="B82" s="21"/>
      <x:c r="C82" s="21"/>
      <x:c r="D82" s="21"/>
      <x:c r="E82" s="21"/>
      <x:c r="F82" s="21"/>
      <x:c r="G82" s="31"/>
      <x:c r="H82" s="31"/>
      <x:c r="I82" s="31"/>
      <x:c r="J82" s="31"/>
      <x:c r="K82" s="31"/>
      <x:c r="L82" s="31"/>
      <x:c r="M82" s="21"/>
      <x:c r="N82" s="21"/>
      <x:c r="O82" s="21"/>
      <x:c r="P82" s="21"/>
      <x:c r="Q82" s="21"/>
      <x:c r="R82" s="30" t="str">
        <x:f>IF(C82="","",IF(OR(N82&lt;&gt;"Sí",O82="X"),"Excluido",IF(OR(O82="D",O82="E"),"Exploratorio","Principal")))</x:f>
      </x:c>
      <x:c r="S82" s="32" t="n">
        <x:f>IF(OR(R82="",R82="Excluido"),0,G82*J82/(1+CASO!$E$6)^M82)</x:f>
        <x:v>0</x:v>
      </x:c>
      <x:c r="T82" s="32" t="n">
        <x:f>IF(OR(R82="",R82="Excluido"),0,H82*K82/(1+CASO!$E$7)^M82)</x:f>
        <x:v>0</x:v>
      </x:c>
      <x:c r="U82" s="32" t="n">
        <x:f>IF(OR(R82="",R82="Excluido"),0,I82*L82/(1+CASO!$E$8)^M82)</x:f>
        <x:v>0</x:v>
      </x:c>
    </x:row>
    <x:row r="83">
      <x:c r="A83" s="21"/>
      <x:c r="B83" s="21"/>
      <x:c r="C83" s="21"/>
      <x:c r="D83" s="21"/>
      <x:c r="E83" s="21"/>
      <x:c r="F83" s="21"/>
      <x:c r="G83" s="31"/>
      <x:c r="H83" s="31"/>
      <x:c r="I83" s="31"/>
      <x:c r="J83" s="31"/>
      <x:c r="K83" s="31"/>
      <x:c r="L83" s="31"/>
      <x:c r="M83" s="21"/>
      <x:c r="N83" s="21"/>
      <x:c r="O83" s="21"/>
      <x:c r="P83" s="21"/>
      <x:c r="Q83" s="21"/>
      <x:c r="R83" s="30" t="str">
        <x:f>IF(C83="","",IF(OR(N83&lt;&gt;"Sí",O83="X"),"Excluido",IF(OR(O83="D",O83="E"),"Exploratorio","Principal")))</x:f>
      </x:c>
      <x:c r="S83" s="32" t="n">
        <x:f>IF(OR(R83="",R83="Excluido"),0,G83*J83/(1+CASO!$E$6)^M83)</x:f>
        <x:v>0</x:v>
      </x:c>
      <x:c r="T83" s="32" t="n">
        <x:f>IF(OR(R83="",R83="Excluido"),0,H83*K83/(1+CASO!$E$7)^M83)</x:f>
        <x:v>0</x:v>
      </x:c>
      <x:c r="U83" s="32" t="n">
        <x:f>IF(OR(R83="",R83="Excluido"),0,I83*L83/(1+CASO!$E$8)^M83)</x:f>
        <x:v>0</x:v>
      </x:c>
    </x:row>
    <x:row r="84">
      <x:c r="A84" s="21"/>
      <x:c r="B84" s="21"/>
      <x:c r="C84" s="21"/>
      <x:c r="D84" s="21"/>
      <x:c r="E84" s="21"/>
      <x:c r="F84" s="21"/>
      <x:c r="G84" s="31"/>
      <x:c r="H84" s="31"/>
      <x:c r="I84" s="31"/>
      <x:c r="J84" s="31"/>
      <x:c r="K84" s="31"/>
      <x:c r="L84" s="31"/>
      <x:c r="M84" s="21"/>
      <x:c r="N84" s="21"/>
      <x:c r="O84" s="21"/>
      <x:c r="P84" s="21"/>
      <x:c r="Q84" s="21"/>
      <x:c r="R84" s="30" t="str">
        <x:f>IF(C84="","",IF(OR(N84&lt;&gt;"Sí",O84="X"),"Excluido",IF(OR(O84="D",O84="E"),"Exploratorio","Principal")))</x:f>
      </x:c>
      <x:c r="S84" s="32" t="n">
        <x:f>IF(OR(R84="",R84="Excluido"),0,G84*J84/(1+CASO!$E$6)^M84)</x:f>
        <x:v>0</x:v>
      </x:c>
      <x:c r="T84" s="32" t="n">
        <x:f>IF(OR(R84="",R84="Excluido"),0,H84*K84/(1+CASO!$E$7)^M84)</x:f>
        <x:v>0</x:v>
      </x:c>
      <x:c r="U84" s="32" t="n">
        <x:f>IF(OR(R84="",R84="Excluido"),0,I84*L84/(1+CASO!$E$8)^M84)</x:f>
        <x:v>0</x:v>
      </x:c>
    </x:row>
    <x:row r="85">
      <x:c r="A85" s="21"/>
      <x:c r="B85" s="21"/>
      <x:c r="C85" s="21"/>
      <x:c r="D85" s="21"/>
      <x:c r="E85" s="21"/>
      <x:c r="F85" s="21"/>
      <x:c r="G85" s="31"/>
      <x:c r="H85" s="31"/>
      <x:c r="I85" s="31"/>
      <x:c r="J85" s="31"/>
      <x:c r="K85" s="31"/>
      <x:c r="L85" s="31"/>
      <x:c r="M85" s="21"/>
      <x:c r="N85" s="21"/>
      <x:c r="O85" s="21"/>
      <x:c r="P85" s="21"/>
      <x:c r="Q85" s="21"/>
      <x:c r="R85" s="30" t="str">
        <x:f>IF(C85="","",IF(OR(N85&lt;&gt;"Sí",O85="X"),"Excluido",IF(OR(O85="D",O85="E"),"Exploratorio","Principal")))</x:f>
      </x:c>
      <x:c r="S85" s="32" t="n">
        <x:f>IF(OR(R85="",R85="Excluido"),0,G85*J85/(1+CASO!$E$6)^M85)</x:f>
        <x:v>0</x:v>
      </x:c>
      <x:c r="T85" s="32" t="n">
        <x:f>IF(OR(R85="",R85="Excluido"),0,H85*K85/(1+CASO!$E$7)^M85)</x:f>
        <x:v>0</x:v>
      </x:c>
      <x:c r="U85" s="32" t="n">
        <x:f>IF(OR(R85="",R85="Excluido"),0,I85*L85/(1+CASO!$E$8)^M85)</x:f>
        <x:v>0</x:v>
      </x:c>
    </x:row>
    <x:row r="86">
      <x:c r="A86" s="21"/>
      <x:c r="B86" s="21"/>
      <x:c r="C86" s="21"/>
      <x:c r="D86" s="21"/>
      <x:c r="E86" s="21"/>
      <x:c r="F86" s="21"/>
      <x:c r="G86" s="31"/>
      <x:c r="H86" s="31"/>
      <x:c r="I86" s="31"/>
      <x:c r="J86" s="31"/>
      <x:c r="K86" s="31"/>
      <x:c r="L86" s="31"/>
      <x:c r="M86" s="21"/>
      <x:c r="N86" s="21"/>
      <x:c r="O86" s="21"/>
      <x:c r="P86" s="21"/>
      <x:c r="Q86" s="21"/>
      <x:c r="R86" s="30" t="str">
        <x:f>IF(C86="","",IF(OR(N86&lt;&gt;"Sí",O86="X"),"Excluido",IF(OR(O86="D",O86="E"),"Exploratorio","Principal")))</x:f>
      </x:c>
      <x:c r="S86" s="32" t="n">
        <x:f>IF(OR(R86="",R86="Excluido"),0,G86*J86/(1+CASO!$E$6)^M86)</x:f>
        <x:v>0</x:v>
      </x:c>
      <x:c r="T86" s="32" t="n">
        <x:f>IF(OR(R86="",R86="Excluido"),0,H86*K86/(1+CASO!$E$7)^M86)</x:f>
        <x:v>0</x:v>
      </x:c>
      <x:c r="U86" s="32" t="n">
        <x:f>IF(OR(R86="",R86="Excluido"),0,I86*L86/(1+CASO!$E$8)^M86)</x:f>
        <x:v>0</x:v>
      </x:c>
    </x:row>
    <x:row r="87">
      <x:c r="A87" s="21"/>
      <x:c r="B87" s="21"/>
      <x:c r="C87" s="21"/>
      <x:c r="D87" s="21"/>
      <x:c r="E87" s="21"/>
      <x:c r="F87" s="21"/>
      <x:c r="G87" s="31"/>
      <x:c r="H87" s="31"/>
      <x:c r="I87" s="31"/>
      <x:c r="J87" s="31"/>
      <x:c r="K87" s="31"/>
      <x:c r="L87" s="31"/>
      <x:c r="M87" s="21"/>
      <x:c r="N87" s="21"/>
      <x:c r="O87" s="21"/>
      <x:c r="P87" s="21"/>
      <x:c r="Q87" s="21"/>
      <x:c r="R87" s="30" t="str">
        <x:f>IF(C87="","",IF(OR(N87&lt;&gt;"Sí",O87="X"),"Excluido",IF(OR(O87="D",O87="E"),"Exploratorio","Principal")))</x:f>
      </x:c>
      <x:c r="S87" s="32" t="n">
        <x:f>IF(OR(R87="",R87="Excluido"),0,G87*J87/(1+CASO!$E$6)^M87)</x:f>
        <x:v>0</x:v>
      </x:c>
      <x:c r="T87" s="32" t="n">
        <x:f>IF(OR(R87="",R87="Excluido"),0,H87*K87/(1+CASO!$E$7)^M87)</x:f>
        <x:v>0</x:v>
      </x:c>
      <x:c r="U87" s="32" t="n">
        <x:f>IF(OR(R87="",R87="Excluido"),0,I87*L87/(1+CASO!$E$8)^M87)</x:f>
        <x:v>0</x:v>
      </x:c>
    </x:row>
    <x:row r="88">
      <x:c r="A88" s="21"/>
      <x:c r="B88" s="21"/>
      <x:c r="C88" s="21"/>
      <x:c r="D88" s="21"/>
      <x:c r="E88" s="21"/>
      <x:c r="F88" s="21"/>
      <x:c r="G88" s="31"/>
      <x:c r="H88" s="31"/>
      <x:c r="I88" s="31"/>
      <x:c r="J88" s="31"/>
      <x:c r="K88" s="31"/>
      <x:c r="L88" s="31"/>
      <x:c r="M88" s="21"/>
      <x:c r="N88" s="21"/>
      <x:c r="O88" s="21"/>
      <x:c r="P88" s="21"/>
      <x:c r="Q88" s="21"/>
      <x:c r="R88" s="30" t="str">
        <x:f>IF(C88="","",IF(OR(N88&lt;&gt;"Sí",O88="X"),"Excluido",IF(OR(O88="D",O88="E"),"Exploratorio","Principal")))</x:f>
      </x:c>
      <x:c r="S88" s="32" t="n">
        <x:f>IF(OR(R88="",R88="Excluido"),0,G88*J88/(1+CASO!$E$6)^M88)</x:f>
        <x:v>0</x:v>
      </x:c>
      <x:c r="T88" s="32" t="n">
        <x:f>IF(OR(R88="",R88="Excluido"),0,H88*K88/(1+CASO!$E$7)^M88)</x:f>
        <x:v>0</x:v>
      </x:c>
      <x:c r="U88" s="32" t="n">
        <x:f>IF(OR(R88="",R88="Excluido"),0,I88*L88/(1+CASO!$E$8)^M88)</x:f>
        <x:v>0</x:v>
      </x:c>
    </x:row>
    <x:row r="89">
      <x:c r="A89" s="21"/>
      <x:c r="B89" s="21"/>
      <x:c r="C89" s="21"/>
      <x:c r="D89" s="21"/>
      <x:c r="E89" s="21"/>
      <x:c r="F89" s="21"/>
      <x:c r="G89" s="31"/>
      <x:c r="H89" s="31"/>
      <x:c r="I89" s="31"/>
      <x:c r="J89" s="31"/>
      <x:c r="K89" s="31"/>
      <x:c r="L89" s="31"/>
      <x:c r="M89" s="21"/>
      <x:c r="N89" s="21"/>
      <x:c r="O89" s="21"/>
      <x:c r="P89" s="21"/>
      <x:c r="Q89" s="21"/>
      <x:c r="R89" s="30" t="str">
        <x:f>IF(C89="","",IF(OR(N89&lt;&gt;"Sí",O89="X"),"Excluido",IF(OR(O89="D",O89="E"),"Exploratorio","Principal")))</x:f>
      </x:c>
      <x:c r="S89" s="32" t="n">
        <x:f>IF(OR(R89="",R89="Excluido"),0,G89*J89/(1+CASO!$E$6)^M89)</x:f>
        <x:v>0</x:v>
      </x:c>
      <x:c r="T89" s="32" t="n">
        <x:f>IF(OR(R89="",R89="Excluido"),0,H89*K89/(1+CASO!$E$7)^M89)</x:f>
        <x:v>0</x:v>
      </x:c>
      <x:c r="U89" s="32" t="n">
        <x:f>IF(OR(R89="",R89="Excluido"),0,I89*L89/(1+CASO!$E$8)^M89)</x:f>
        <x:v>0</x:v>
      </x:c>
    </x:row>
    <x:row r="90">
      <x:c r="A90" s="21"/>
      <x:c r="B90" s="21"/>
      <x:c r="C90" s="21"/>
      <x:c r="D90" s="21"/>
      <x:c r="E90" s="21"/>
      <x:c r="F90" s="21"/>
      <x:c r="G90" s="31"/>
      <x:c r="H90" s="31"/>
      <x:c r="I90" s="31"/>
      <x:c r="J90" s="31"/>
      <x:c r="K90" s="31"/>
      <x:c r="L90" s="31"/>
      <x:c r="M90" s="21"/>
      <x:c r="N90" s="21"/>
      <x:c r="O90" s="21"/>
      <x:c r="P90" s="21"/>
      <x:c r="Q90" s="21"/>
      <x:c r="R90" s="30" t="str">
        <x:f>IF(C90="","",IF(OR(N90&lt;&gt;"Sí",O90="X"),"Excluido",IF(OR(O90="D",O90="E"),"Exploratorio","Principal")))</x:f>
      </x:c>
      <x:c r="S90" s="32" t="n">
        <x:f>IF(OR(R90="",R90="Excluido"),0,G90*J90/(1+CASO!$E$6)^M90)</x:f>
        <x:v>0</x:v>
      </x:c>
      <x:c r="T90" s="32" t="n">
        <x:f>IF(OR(R90="",R90="Excluido"),0,H90*K90/(1+CASO!$E$7)^M90)</x:f>
        <x:v>0</x:v>
      </x:c>
      <x:c r="U90" s="32" t="n">
        <x:f>IF(OR(R90="",R90="Excluido"),0,I90*L90/(1+CASO!$E$8)^M90)</x:f>
        <x:v>0</x:v>
      </x:c>
    </x:row>
    <x:row r="91">
      <x:c r="A91" s="21"/>
      <x:c r="B91" s="21"/>
      <x:c r="C91" s="21"/>
      <x:c r="D91" s="21"/>
      <x:c r="E91" s="21"/>
      <x:c r="F91" s="21"/>
      <x:c r="G91" s="31"/>
      <x:c r="H91" s="31"/>
      <x:c r="I91" s="31"/>
      <x:c r="J91" s="31"/>
      <x:c r="K91" s="31"/>
      <x:c r="L91" s="31"/>
      <x:c r="M91" s="21"/>
      <x:c r="N91" s="21"/>
      <x:c r="O91" s="21"/>
      <x:c r="P91" s="21"/>
      <x:c r="Q91" s="21"/>
      <x:c r="R91" s="30" t="str">
        <x:f>IF(C91="","",IF(OR(N91&lt;&gt;"Sí",O91="X"),"Excluido",IF(OR(O91="D",O91="E"),"Exploratorio","Principal")))</x:f>
      </x:c>
      <x:c r="S91" s="32" t="n">
        <x:f>IF(OR(R91="",R91="Excluido"),0,G91*J91/(1+CASO!$E$6)^M91)</x:f>
        <x:v>0</x:v>
      </x:c>
      <x:c r="T91" s="32" t="n">
        <x:f>IF(OR(R91="",R91="Excluido"),0,H91*K91/(1+CASO!$E$7)^M91)</x:f>
        <x:v>0</x:v>
      </x:c>
      <x:c r="U91" s="32" t="n">
        <x:f>IF(OR(R91="",R91="Excluido"),0,I91*L91/(1+CASO!$E$8)^M91)</x:f>
        <x:v>0</x:v>
      </x:c>
    </x:row>
    <x:row r="92">
      <x:c r="A92" s="21"/>
      <x:c r="B92" s="21"/>
      <x:c r="C92" s="21"/>
      <x:c r="D92" s="21"/>
      <x:c r="E92" s="21"/>
      <x:c r="F92" s="21"/>
      <x:c r="G92" s="31"/>
      <x:c r="H92" s="31"/>
      <x:c r="I92" s="31"/>
      <x:c r="J92" s="31"/>
      <x:c r="K92" s="31"/>
      <x:c r="L92" s="31"/>
      <x:c r="M92" s="21"/>
      <x:c r="N92" s="21"/>
      <x:c r="O92" s="21"/>
      <x:c r="P92" s="21"/>
      <x:c r="Q92" s="21"/>
      <x:c r="R92" s="30" t="str">
        <x:f>IF(C92="","",IF(OR(N92&lt;&gt;"Sí",O92="X"),"Excluido",IF(OR(O92="D",O92="E"),"Exploratorio","Principal")))</x:f>
      </x:c>
      <x:c r="S92" s="32" t="n">
        <x:f>IF(OR(R92="",R92="Excluido"),0,G92*J92/(1+CASO!$E$6)^M92)</x:f>
        <x:v>0</x:v>
      </x:c>
      <x:c r="T92" s="32" t="n">
        <x:f>IF(OR(R92="",R92="Excluido"),0,H92*K92/(1+CASO!$E$7)^M92)</x:f>
        <x:v>0</x:v>
      </x:c>
      <x:c r="U92" s="32" t="n">
        <x:f>IF(OR(R92="",R92="Excluido"),0,I92*L92/(1+CASO!$E$8)^M92)</x:f>
        <x:v>0</x:v>
      </x:c>
    </x:row>
    <x:row r="93">
      <x:c r="A93" s="21"/>
      <x:c r="B93" s="21"/>
      <x:c r="C93" s="21"/>
      <x:c r="D93" s="21"/>
      <x:c r="E93" s="21"/>
      <x:c r="F93" s="21"/>
      <x:c r="G93" s="31"/>
      <x:c r="H93" s="31"/>
      <x:c r="I93" s="31"/>
      <x:c r="J93" s="31"/>
      <x:c r="K93" s="31"/>
      <x:c r="L93" s="31"/>
      <x:c r="M93" s="21"/>
      <x:c r="N93" s="21"/>
      <x:c r="O93" s="21"/>
      <x:c r="P93" s="21"/>
      <x:c r="Q93" s="21"/>
      <x:c r="R93" s="30" t="str">
        <x:f>IF(C93="","",IF(OR(N93&lt;&gt;"Sí",O93="X"),"Excluido",IF(OR(O93="D",O93="E"),"Exploratorio","Principal")))</x:f>
      </x:c>
      <x:c r="S93" s="32" t="n">
        <x:f>IF(OR(R93="",R93="Excluido"),0,G93*J93/(1+CASO!$E$6)^M93)</x:f>
        <x:v>0</x:v>
      </x:c>
      <x:c r="T93" s="32" t="n">
        <x:f>IF(OR(R93="",R93="Excluido"),0,H93*K93/(1+CASO!$E$7)^M93)</x:f>
        <x:v>0</x:v>
      </x:c>
      <x:c r="U93" s="32" t="n">
        <x:f>IF(OR(R93="",R93="Excluido"),0,I93*L93/(1+CASO!$E$8)^M93)</x:f>
        <x:v>0</x:v>
      </x:c>
    </x:row>
    <x:row r="94">
      <x:c r="A94" s="21"/>
      <x:c r="B94" s="21"/>
      <x:c r="C94" s="21"/>
      <x:c r="D94" s="21"/>
      <x:c r="E94" s="21"/>
      <x:c r="F94" s="21"/>
      <x:c r="G94" s="31"/>
      <x:c r="H94" s="31"/>
      <x:c r="I94" s="31"/>
      <x:c r="J94" s="31"/>
      <x:c r="K94" s="31"/>
      <x:c r="L94" s="31"/>
      <x:c r="M94" s="21"/>
      <x:c r="N94" s="21"/>
      <x:c r="O94" s="21"/>
      <x:c r="P94" s="21"/>
      <x:c r="Q94" s="21"/>
      <x:c r="R94" s="30" t="str">
        <x:f>IF(C94="","",IF(OR(N94&lt;&gt;"Sí",O94="X"),"Excluido",IF(OR(O94="D",O94="E"),"Exploratorio","Principal")))</x:f>
      </x:c>
      <x:c r="S94" s="32" t="n">
        <x:f>IF(OR(R94="",R94="Excluido"),0,G94*J94/(1+CASO!$E$6)^M94)</x:f>
        <x:v>0</x:v>
      </x:c>
      <x:c r="T94" s="32" t="n">
        <x:f>IF(OR(R94="",R94="Excluido"),0,H94*K94/(1+CASO!$E$7)^M94)</x:f>
        <x:v>0</x:v>
      </x:c>
      <x:c r="U94" s="32" t="n">
        <x:f>IF(OR(R94="",R94="Excluido"),0,I94*L94/(1+CASO!$E$8)^M94)</x:f>
        <x:v>0</x:v>
      </x:c>
    </x:row>
    <x:row r="95">
      <x:c r="A95" s="21"/>
      <x:c r="B95" s="21"/>
      <x:c r="C95" s="21"/>
      <x:c r="D95" s="21"/>
      <x:c r="E95" s="21"/>
      <x:c r="F95" s="21"/>
      <x:c r="G95" s="31"/>
      <x:c r="H95" s="31"/>
      <x:c r="I95" s="31"/>
      <x:c r="J95" s="31"/>
      <x:c r="K95" s="31"/>
      <x:c r="L95" s="31"/>
      <x:c r="M95" s="21"/>
      <x:c r="N95" s="21"/>
      <x:c r="O95" s="21"/>
      <x:c r="P95" s="21"/>
      <x:c r="Q95" s="21"/>
      <x:c r="R95" s="30" t="str">
        <x:f>IF(C95="","",IF(OR(N95&lt;&gt;"Sí",O95="X"),"Excluido",IF(OR(O95="D",O95="E"),"Exploratorio","Principal")))</x:f>
      </x:c>
      <x:c r="S95" s="32" t="n">
        <x:f>IF(OR(R95="",R95="Excluido"),0,G95*J95/(1+CASO!$E$6)^M95)</x:f>
        <x:v>0</x:v>
      </x:c>
      <x:c r="T95" s="32" t="n">
        <x:f>IF(OR(R95="",R95="Excluido"),0,H95*K95/(1+CASO!$E$7)^M95)</x:f>
        <x:v>0</x:v>
      </x:c>
      <x:c r="U95" s="32" t="n">
        <x:f>IF(OR(R95="",R95="Excluido"),0,I95*L95/(1+CASO!$E$8)^M95)</x:f>
        <x:v>0</x:v>
      </x:c>
    </x:row>
    <x:row r="96">
      <x:c r="A96" s="21"/>
      <x:c r="B96" s="21"/>
      <x:c r="C96" s="21"/>
      <x:c r="D96" s="21"/>
      <x:c r="E96" s="21"/>
      <x:c r="F96" s="21"/>
      <x:c r="G96" s="31"/>
      <x:c r="H96" s="31"/>
      <x:c r="I96" s="31"/>
      <x:c r="J96" s="31"/>
      <x:c r="K96" s="31"/>
      <x:c r="L96" s="31"/>
      <x:c r="M96" s="21"/>
      <x:c r="N96" s="21"/>
      <x:c r="O96" s="21"/>
      <x:c r="P96" s="21"/>
      <x:c r="Q96" s="21"/>
      <x:c r="R96" s="30" t="str">
        <x:f>IF(C96="","",IF(OR(N96&lt;&gt;"Sí",O96="X"),"Excluido",IF(OR(O96="D",O96="E"),"Exploratorio","Principal")))</x:f>
      </x:c>
      <x:c r="S96" s="32" t="n">
        <x:f>IF(OR(R96="",R96="Excluido"),0,G96*J96/(1+CASO!$E$6)^M96)</x:f>
        <x:v>0</x:v>
      </x:c>
      <x:c r="T96" s="32" t="n">
        <x:f>IF(OR(R96="",R96="Excluido"),0,H96*K96/(1+CASO!$E$7)^M96)</x:f>
        <x:v>0</x:v>
      </x:c>
      <x:c r="U96" s="32" t="n">
        <x:f>IF(OR(R96="",R96="Excluido"),0,I96*L96/(1+CASO!$E$8)^M96)</x:f>
        <x:v>0</x:v>
      </x:c>
    </x:row>
    <x:row r="97">
      <x:c r="A97" s="21"/>
      <x:c r="B97" s="21"/>
      <x:c r="C97" s="21"/>
      <x:c r="D97" s="21"/>
      <x:c r="E97" s="21"/>
      <x:c r="F97" s="21"/>
      <x:c r="G97" s="31"/>
      <x:c r="H97" s="31"/>
      <x:c r="I97" s="31"/>
      <x:c r="J97" s="31"/>
      <x:c r="K97" s="31"/>
      <x:c r="L97" s="31"/>
      <x:c r="M97" s="21"/>
      <x:c r="N97" s="21"/>
      <x:c r="O97" s="21"/>
      <x:c r="P97" s="21"/>
      <x:c r="Q97" s="21"/>
      <x:c r="R97" s="30" t="str">
        <x:f>IF(C97="","",IF(OR(N97&lt;&gt;"Sí",O97="X"),"Excluido",IF(OR(O97="D",O97="E"),"Exploratorio","Principal")))</x:f>
      </x:c>
      <x:c r="S97" s="32" t="n">
        <x:f>IF(OR(R97="",R97="Excluido"),0,G97*J97/(1+CASO!$E$6)^M97)</x:f>
        <x:v>0</x:v>
      </x:c>
      <x:c r="T97" s="32" t="n">
        <x:f>IF(OR(R97="",R97="Excluido"),0,H97*K97/(1+CASO!$E$7)^M97)</x:f>
        <x:v>0</x:v>
      </x:c>
      <x:c r="U97" s="32" t="n">
        <x:f>IF(OR(R97="",R97="Excluido"),0,I97*L97/(1+CASO!$E$8)^M97)</x:f>
        <x:v>0</x:v>
      </x:c>
    </x:row>
    <x:row r="98">
      <x:c r="A98" s="21"/>
      <x:c r="B98" s="21"/>
      <x:c r="C98" s="21"/>
      <x:c r="D98" s="21"/>
      <x:c r="E98" s="21"/>
      <x:c r="F98" s="21"/>
      <x:c r="G98" s="31"/>
      <x:c r="H98" s="31"/>
      <x:c r="I98" s="31"/>
      <x:c r="J98" s="31"/>
      <x:c r="K98" s="31"/>
      <x:c r="L98" s="31"/>
      <x:c r="M98" s="21"/>
      <x:c r="N98" s="21"/>
      <x:c r="O98" s="21"/>
      <x:c r="P98" s="21"/>
      <x:c r="Q98" s="21"/>
      <x:c r="R98" s="30" t="str">
        <x:f>IF(C98="","",IF(OR(N98&lt;&gt;"Sí",O98="X"),"Excluido",IF(OR(O98="D",O98="E"),"Exploratorio","Principal")))</x:f>
      </x:c>
      <x:c r="S98" s="32" t="n">
        <x:f>IF(OR(R98="",R98="Excluido"),0,G98*J98/(1+CASO!$E$6)^M98)</x:f>
        <x:v>0</x:v>
      </x:c>
      <x:c r="T98" s="32" t="n">
        <x:f>IF(OR(R98="",R98="Excluido"),0,H98*K98/(1+CASO!$E$7)^M98)</x:f>
        <x:v>0</x:v>
      </x:c>
      <x:c r="U98" s="32" t="n">
        <x:f>IF(OR(R98="",R98="Excluido"),0,I98*L98/(1+CASO!$E$8)^M98)</x:f>
        <x:v>0</x:v>
      </x:c>
    </x:row>
    <x:row r="99">
      <x:c r="A99" s="21"/>
      <x:c r="B99" s="21"/>
      <x:c r="C99" s="21"/>
      <x:c r="D99" s="21"/>
      <x:c r="E99" s="21"/>
      <x:c r="F99" s="21"/>
      <x:c r="G99" s="31"/>
      <x:c r="H99" s="31"/>
      <x:c r="I99" s="31"/>
      <x:c r="J99" s="31"/>
      <x:c r="K99" s="31"/>
      <x:c r="L99" s="31"/>
      <x:c r="M99" s="21"/>
      <x:c r="N99" s="21"/>
      <x:c r="O99" s="21"/>
      <x:c r="P99" s="21"/>
      <x:c r="Q99" s="21"/>
      <x:c r="R99" s="30" t="str">
        <x:f>IF(C99="","",IF(OR(N99&lt;&gt;"Sí",O99="X"),"Excluido",IF(OR(O99="D",O99="E"),"Exploratorio","Principal")))</x:f>
      </x:c>
      <x:c r="S99" s="32" t="n">
        <x:f>IF(OR(R99="",R99="Excluido"),0,G99*J99/(1+CASO!$E$6)^M99)</x:f>
        <x:v>0</x:v>
      </x:c>
      <x:c r="T99" s="32" t="n">
        <x:f>IF(OR(R99="",R99="Excluido"),0,H99*K99/(1+CASO!$E$7)^M99)</x:f>
        <x:v>0</x:v>
      </x:c>
      <x:c r="U99" s="32" t="n">
        <x:f>IF(OR(R99="",R99="Excluido"),0,I99*L99/(1+CASO!$E$8)^M99)</x:f>
        <x:v>0</x:v>
      </x:c>
    </x:row>
    <x:row r="100">
      <x:c r="A100" s="21"/>
      <x:c r="B100" s="21"/>
      <x:c r="C100" s="21"/>
      <x:c r="D100" s="21"/>
      <x:c r="E100" s="21"/>
      <x:c r="F100" s="21"/>
      <x:c r="G100" s="31"/>
      <x:c r="H100" s="31"/>
      <x:c r="I100" s="31"/>
      <x:c r="J100" s="31"/>
      <x:c r="K100" s="31"/>
      <x:c r="L100" s="31"/>
      <x:c r="M100" s="21"/>
      <x:c r="N100" s="21"/>
      <x:c r="O100" s="21"/>
      <x:c r="P100" s="21"/>
      <x:c r="Q100" s="21"/>
      <x:c r="R100" s="30" t="str">
        <x:f>IF(C100="","",IF(OR(N100&lt;&gt;"Sí",O100="X"),"Excluido",IF(OR(O100="D",O100="E"),"Exploratorio","Principal")))</x:f>
      </x:c>
      <x:c r="S100" s="32" t="n">
        <x:f>IF(OR(R100="",R100="Excluido"),0,G100*J100/(1+CASO!$E$6)^M100)</x:f>
        <x:v>0</x:v>
      </x:c>
      <x:c r="T100" s="32" t="n">
        <x:f>IF(OR(R100="",R100="Excluido"),0,H100*K100/(1+CASO!$E$7)^M100)</x:f>
        <x:v>0</x:v>
      </x:c>
      <x:c r="U100" s="32" t="n">
        <x:f>IF(OR(R100="",R100="Excluido"),0,I100*L100/(1+CASO!$E$8)^M100)</x:f>
        <x:v>0</x:v>
      </x:c>
    </x:row>
    <x:row r="101">
      <x:c r="A101" s="21"/>
      <x:c r="B101" s="21"/>
      <x:c r="C101" s="21"/>
      <x:c r="D101" s="21"/>
      <x:c r="E101" s="21"/>
      <x:c r="F101" s="21"/>
      <x:c r="G101" s="31"/>
      <x:c r="H101" s="31"/>
      <x:c r="I101" s="31"/>
      <x:c r="J101" s="31"/>
      <x:c r="K101" s="31"/>
      <x:c r="L101" s="31"/>
      <x:c r="M101" s="21"/>
      <x:c r="N101" s="21"/>
      <x:c r="O101" s="21"/>
      <x:c r="P101" s="21"/>
      <x:c r="Q101" s="21"/>
      <x:c r="R101" s="30" t="str">
        <x:f>IF(C101="","",IF(OR(N101&lt;&gt;"Sí",O101="X"),"Excluido",IF(OR(O101="D",O101="E"),"Exploratorio","Principal")))</x:f>
      </x:c>
      <x:c r="S101" s="32" t="n">
        <x:f>IF(OR(R101="",R101="Excluido"),0,G101*J101/(1+CASO!$E$6)^M101)</x:f>
        <x:v>0</x:v>
      </x:c>
      <x:c r="T101" s="32" t="n">
        <x:f>IF(OR(R101="",R101="Excluido"),0,H101*K101/(1+CASO!$E$7)^M101)</x:f>
        <x:v>0</x:v>
      </x:c>
      <x:c r="U101" s="32" t="n">
        <x:f>IF(OR(R101="",R101="Excluido"),0,I101*L101/(1+CASO!$E$8)^M101)</x:f>
        <x:v>0</x:v>
      </x:c>
    </x:row>
    <x:row r="102">
      <x:c r="A102" s="21"/>
      <x:c r="B102" s="21"/>
      <x:c r="C102" s="21"/>
      <x:c r="D102" s="21"/>
      <x:c r="E102" s="21"/>
      <x:c r="F102" s="21"/>
      <x:c r="G102" s="31"/>
      <x:c r="H102" s="31"/>
      <x:c r="I102" s="31"/>
      <x:c r="J102" s="31"/>
      <x:c r="K102" s="31"/>
      <x:c r="L102" s="31"/>
      <x:c r="M102" s="21"/>
      <x:c r="N102" s="21"/>
      <x:c r="O102" s="21"/>
      <x:c r="P102" s="21"/>
      <x:c r="Q102" s="21"/>
      <x:c r="R102" s="30" t="str">
        <x:f>IF(C102="","",IF(OR(N102&lt;&gt;"Sí",O102="X"),"Excluido",IF(OR(O102="D",O102="E"),"Exploratorio","Principal")))</x:f>
      </x:c>
      <x:c r="S102" s="32" t="n">
        <x:f>IF(OR(R102="",R102="Excluido"),0,G102*J102/(1+CASO!$E$6)^M102)</x:f>
        <x:v>0</x:v>
      </x:c>
      <x:c r="T102" s="32" t="n">
        <x:f>IF(OR(R102="",R102="Excluido"),0,H102*K102/(1+CASO!$E$7)^M102)</x:f>
        <x:v>0</x:v>
      </x:c>
      <x:c r="U102" s="32" t="n">
        <x:f>IF(OR(R102="",R102="Excluido"),0,I102*L102/(1+CASO!$E$8)^M102)</x:f>
        <x:v>0</x:v>
      </x:c>
    </x:row>
    <x:row r="103">
      <x:c r="A103" s="21"/>
      <x:c r="B103" s="21"/>
      <x:c r="C103" s="21"/>
      <x:c r="D103" s="21"/>
      <x:c r="E103" s="21"/>
      <x:c r="F103" s="21"/>
      <x:c r="G103" s="31"/>
      <x:c r="H103" s="31"/>
      <x:c r="I103" s="31"/>
      <x:c r="J103" s="31"/>
      <x:c r="K103" s="31"/>
      <x:c r="L103" s="31"/>
      <x:c r="M103" s="21"/>
      <x:c r="N103" s="21"/>
      <x:c r="O103" s="21"/>
      <x:c r="P103" s="21"/>
      <x:c r="Q103" s="21"/>
      <x:c r="R103" s="30" t="str">
        <x:f>IF(C103="","",IF(OR(N103&lt;&gt;"Sí",O103="X"),"Excluido",IF(OR(O103="D",O103="E"),"Exploratorio","Principal")))</x:f>
      </x:c>
      <x:c r="S103" s="32" t="n">
        <x:f>IF(OR(R103="",R103="Excluido"),0,G103*J103/(1+CASO!$E$6)^M103)</x:f>
        <x:v>0</x:v>
      </x:c>
      <x:c r="T103" s="32" t="n">
        <x:f>IF(OR(R103="",R103="Excluido"),0,H103*K103/(1+CASO!$E$7)^M103)</x:f>
        <x:v>0</x:v>
      </x:c>
      <x:c r="U103" s="32" t="n">
        <x:f>IF(OR(R103="",R103="Excluido"),0,I103*L103/(1+CASO!$E$8)^M103)</x:f>
        <x:v>0</x:v>
      </x:c>
    </x:row>
    <x:row r="104">
      <x:c r="A104" s="21"/>
      <x:c r="B104" s="21"/>
      <x:c r="C104" s="21"/>
      <x:c r="D104" s="21"/>
      <x:c r="E104" s="21"/>
      <x:c r="F104" s="21"/>
      <x:c r="G104" s="31"/>
      <x:c r="H104" s="31"/>
      <x:c r="I104" s="31"/>
      <x:c r="J104" s="31"/>
      <x:c r="K104" s="31"/>
      <x:c r="L104" s="31"/>
      <x:c r="M104" s="21"/>
      <x:c r="N104" s="21"/>
      <x:c r="O104" s="21"/>
      <x:c r="P104" s="21"/>
      <x:c r="Q104" s="21"/>
      <x:c r="R104" s="30" t="str">
        <x:f>IF(C104="","",IF(OR(N104&lt;&gt;"Sí",O104="X"),"Excluido",IF(OR(O104="D",O104="E"),"Exploratorio","Principal")))</x:f>
      </x:c>
      <x:c r="S104" s="32" t="n">
        <x:f>IF(OR(R104="",R104="Excluido"),0,G104*J104/(1+CASO!$E$6)^M104)</x:f>
        <x:v>0</x:v>
      </x:c>
      <x:c r="T104" s="32" t="n">
        <x:f>IF(OR(R104="",R104="Excluido"),0,H104*K104/(1+CASO!$E$7)^M104)</x:f>
        <x:v>0</x:v>
      </x:c>
      <x:c r="U104" s="32" t="n">
        <x:f>IF(OR(R104="",R104="Excluido"),0,I104*L104/(1+CASO!$E$8)^M104)</x:f>
        <x:v>0</x:v>
      </x:c>
    </x:row>
    <x:row r="105">
      <x:c r="A105" s="21"/>
      <x:c r="B105" s="21"/>
      <x:c r="C105" s="21"/>
      <x:c r="D105" s="21"/>
      <x:c r="E105" s="21"/>
      <x:c r="F105" s="21"/>
      <x:c r="G105" s="31"/>
      <x:c r="H105" s="31"/>
      <x:c r="I105" s="31"/>
      <x:c r="J105" s="31"/>
      <x:c r="K105" s="31"/>
      <x:c r="L105" s="31"/>
      <x:c r="M105" s="21"/>
      <x:c r="N105" s="21"/>
      <x:c r="O105" s="21"/>
      <x:c r="P105" s="21"/>
      <x:c r="Q105" s="21"/>
      <x:c r="R105" s="30" t="str">
        <x:f>IF(C105="","",IF(OR(N105&lt;&gt;"Sí",O105="X"),"Excluido",IF(OR(O105="D",O105="E"),"Exploratorio","Principal")))</x:f>
      </x:c>
      <x:c r="S105" s="32" t="n">
        <x:f>IF(OR(R105="",R105="Excluido"),0,G105*J105/(1+CASO!$E$6)^M105)</x:f>
        <x:v>0</x:v>
      </x:c>
      <x:c r="T105" s="32" t="n">
        <x:f>IF(OR(R105="",R105="Excluido"),0,H105*K105/(1+CASO!$E$7)^M105)</x:f>
        <x:v>0</x:v>
      </x:c>
      <x:c r="U105" s="32" t="n">
        <x:f>IF(OR(R105="",R105="Excluido"),0,I105*L105/(1+CASO!$E$8)^M105)</x:f>
        <x:v>0</x:v>
      </x:c>
    </x:row>
    <x:row r="106">
      <x:c r="A106" s="21"/>
      <x:c r="B106" s="21"/>
      <x:c r="C106" s="21"/>
      <x:c r="D106" s="21"/>
      <x:c r="E106" s="21"/>
      <x:c r="F106" s="21"/>
      <x:c r="G106" s="31"/>
      <x:c r="H106" s="31"/>
      <x:c r="I106" s="31"/>
      <x:c r="J106" s="31"/>
      <x:c r="K106" s="31"/>
      <x:c r="L106" s="31"/>
      <x:c r="M106" s="21"/>
      <x:c r="N106" s="21"/>
      <x:c r="O106" s="21"/>
      <x:c r="P106" s="21"/>
      <x:c r="Q106" s="21"/>
      <x:c r="R106" s="30" t="str">
        <x:f>IF(C106="","",IF(OR(N106&lt;&gt;"Sí",O106="X"),"Excluido",IF(OR(O106="D",O106="E"),"Exploratorio","Principal")))</x:f>
      </x:c>
      <x:c r="S106" s="32" t="n">
        <x:f>IF(OR(R106="",R106="Excluido"),0,G106*J106/(1+CASO!$E$6)^M106)</x:f>
        <x:v>0</x:v>
      </x:c>
      <x:c r="T106" s="32" t="n">
        <x:f>IF(OR(R106="",R106="Excluido"),0,H106*K106/(1+CASO!$E$7)^M106)</x:f>
        <x:v>0</x:v>
      </x:c>
      <x:c r="U106" s="32" t="n">
        <x:f>IF(OR(R106="",R106="Excluido"),0,I106*L106/(1+CASO!$E$8)^M106)</x:f>
        <x:v>0</x:v>
      </x:c>
    </x:row>
  </x:sheetData>
  <x:mergeCells>
    <x:mergeCell ref="A2:U2"/>
    <x:mergeCell ref="A3:U3"/>
  </x:mergeCells>
  <x:dataValidations count="5">
    <x:dataValidation type="list" sqref="B7:B106">
      <x:formula1>"A1,A2,C,D,E,R"</x:formula1>
    </x:dataValidation>
    <x:dataValidation type="list" sqref="E7:E106">
      <x:formula1>"Dato del expediente,Costo real,Estudio local,Base histórica comparable,Estudio comparable,Proxy / supuesto"</x:formula1>
    </x:dataValidation>
    <x:dataValidation type="list" sqref="F7:F106">
      <x:formula1>"Observado,Estimado"</x:formula1>
    </x:dataValidation>
    <x:dataValidation type="list" sqref="N7:N106">
      <x:formula1>"Sí,No"</x:formula1>
    </x:dataValidation>
    <x:dataValidation type="list" sqref="O7:O106">
      <x:formula1>"A,B,C,D,E,X"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30" hidden="0" customWidth="1"/>
    <x:col min="5" max="5" width="22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7" hidden="0" customWidth="1"/>
    <x:col min="13" max="13" width="17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3" hidden="0" customWidth="1"/>
    <x:col min="22" max="22" width="11" hidden="0" customWidth="1"/>
    <x:col min="23" max="23" width="15" hidden="0" customWidth="1"/>
    <x:col min="24" max="24" width="20" hidden="0" customWidth="1"/>
    <x:col min="25" max="25" width="38" hidden="0" customWidth="1"/>
    <x:col min="26" max="26" width="17" hidden="0" customWidth="1"/>
    <x:col min="27" max="27" width="15" hidden="0" customWidth="1"/>
    <x:col min="28" max="28" width="15" hidden="0" customWidth="1"/>
    <x:col min="29" max="29" width="15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2" ht="28" customHeight="1">
      <x:c r="A2" s="3" t="str">
        <x:v>Servicios ecosistémicos y valores culturales B</x:v>
      </x:c>
      <x:c r="B2" s="3" t="str">
        <x:v>Servicios ecosistémicos y valores culturales B</x:v>
      </x:c>
      <x:c r="C2" s="3" t="str">
        <x:v>Servicios ecosistémicos y valores culturales B</x:v>
      </x:c>
      <x:c r="D2" s="3" t="str">
        <x:v>Servicios ecosistémicos y valores culturales B</x:v>
      </x:c>
      <x:c r="E2" s="3" t="str">
        <x:v>Servicios ecosistémicos y valores culturales B</x:v>
      </x:c>
      <x:c r="F2" s="3" t="str">
        <x:v>Servicios ecosistémicos y valores culturales B</x:v>
      </x:c>
      <x:c r="G2" s="3" t="str">
        <x:v>Servicios ecosistémicos y valores culturales B</x:v>
      </x:c>
      <x:c r="H2" s="3" t="str">
        <x:v>Servicios ecosistémicos y valores culturales B</x:v>
      </x:c>
      <x:c r="I2" s="3" t="str">
        <x:v>Servicios ecosistémicos y valores culturales B</x:v>
      </x:c>
      <x:c r="J2" s="3" t="str">
        <x:v>Servicios ecosistémicos y valores culturales B</x:v>
      </x:c>
      <x:c r="K2" s="3" t="str">
        <x:v>Servicios ecosistémicos y valores culturales B</x:v>
      </x:c>
      <x:c r="L2" s="3" t="str">
        <x:v>Servicios ecosistémicos y valores culturales B</x:v>
      </x:c>
      <x:c r="M2" s="3" t="str">
        <x:v>Servicios ecosistémicos y valores culturales B</x:v>
      </x:c>
      <x:c r="N2" s="3" t="str">
        <x:v>Servicios ecosistémicos y valores culturales B</x:v>
      </x:c>
      <x:c r="O2" s="3" t="str">
        <x:v>Servicios ecosistémicos y valores culturales B</x:v>
      </x:c>
      <x:c r="P2" s="3" t="str">
        <x:v>Servicios ecosistémicos y valores culturales B</x:v>
      </x:c>
      <x:c r="Q2" s="3" t="str">
        <x:v>Servicios ecosistémicos y valores culturales B</x:v>
      </x:c>
      <x:c r="R2" s="3" t="str">
        <x:v>Servicios ecosistémicos y valores culturales B</x:v>
      </x:c>
      <x:c r="S2" s="3" t="str">
        <x:v>Servicios ecosistémicos y valores culturales B</x:v>
      </x:c>
      <x:c r="T2" s="3" t="str">
        <x:v>Servicios ecosistémicos y valores culturales B</x:v>
      </x:c>
      <x:c r="U2" s="3" t="str">
        <x:v>Servicios ecosistémicos y valores culturales B</x:v>
      </x:c>
      <x:c r="V2" s="3" t="str">
        <x:v>Servicios ecosistémicos y valores culturales B</x:v>
      </x:c>
      <x:c r="W2" s="3" t="str">
        <x:v>Servicios ecosistémicos y valores culturales B</x:v>
      </x:c>
      <x:c r="X2" s="3" t="str">
        <x:v>Servicios ecosistémicos y valores culturales B</x:v>
      </x:c>
      <x:c r="Y2" s="3" t="str">
        <x:v>Servicios ecosistémicos y valores culturales B</x:v>
      </x:c>
      <x:c r="Z2" s="3" t="str">
        <x:v>Servicios ecosistémicos y valores culturales B</x:v>
      </x:c>
      <x:c r="AA2" s="3" t="str">
        <x:v>Servicios ecosistémicos y valores culturales B</x:v>
      </x:c>
      <x:c r="AB2" s="3" t="str">
        <x:v>Servicios ecosistémicos y valores culturales B</x:v>
      </x:c>
      <x:c r="AC2" s="3" t="str">
        <x:v>Servicios ecosistémicos y valores culturales B</x:v>
      </x:c>
      <x:c r="AD2" s="3" t="str">
        <x:v>Servicios ecosistémicos y valores culturales B</x:v>
      </x:c>
      <x:c r="AE2" s="3" t="str">
        <x:v>Servicios ecosistémicos y valores culturales B</x:v>
      </x:c>
      <x:c r="AF2" s="3" t="str">
        <x:v>Servicios ecosistémicos y valores culturales B</x:v>
      </x:c>
    </x:row>
    <x:row r="3" ht="30" customHeight="1">
      <x:c r="A3" s="7" t="str">
        <x:v>Use B solo cuando pueda demostrar recurso o hábitat, función, servicio, beneficiario, cantidad afectada y periodo.</x:v>
      </x:c>
      <x:c r="B3" s="7" t="str">
        <x:v>Use B solo cuando pueda demostrar recurso o hábitat, función, servicio, beneficiario, cantidad afectada y periodo.</x:v>
      </x:c>
      <x:c r="C3" s="7" t="str">
        <x:v>Use B solo cuando pueda demostrar recurso o hábitat, función, servicio, beneficiario, cantidad afectada y periodo.</x:v>
      </x:c>
      <x:c r="D3" s="7" t="str">
        <x:v>Use B solo cuando pueda demostrar recurso o hábitat, función, servicio, beneficiario, cantidad afectada y periodo.</x:v>
      </x:c>
      <x:c r="E3" s="7" t="str">
        <x:v>Use B solo cuando pueda demostrar recurso o hábitat, función, servicio, beneficiario, cantidad afectada y periodo.</x:v>
      </x:c>
      <x:c r="F3" s="7" t="str">
        <x:v>Use B solo cuando pueda demostrar recurso o hábitat, función, servicio, beneficiario, cantidad afectada y periodo.</x:v>
      </x:c>
      <x:c r="G3" s="7" t="str">
        <x:v>Use B solo cuando pueda demostrar recurso o hábitat, función, servicio, beneficiario, cantidad afectada y periodo.</x:v>
      </x:c>
      <x:c r="H3" s="7" t="str">
        <x:v>Use B solo cuando pueda demostrar recurso o hábitat, función, servicio, beneficiario, cantidad afectada y periodo.</x:v>
      </x:c>
      <x:c r="I3" s="7" t="str">
        <x:v>Use B solo cuando pueda demostrar recurso o hábitat, función, servicio, beneficiario, cantidad afectada y periodo.</x:v>
      </x:c>
      <x:c r="J3" s="7" t="str">
        <x:v>Use B solo cuando pueda demostrar recurso o hábitat, función, servicio, beneficiario, cantidad afectada y periodo.</x:v>
      </x:c>
      <x:c r="K3" s="7" t="str">
        <x:v>Use B solo cuando pueda demostrar recurso o hábitat, función, servicio, beneficiario, cantidad afectada y periodo.</x:v>
      </x:c>
      <x:c r="L3" s="7" t="str">
        <x:v>Use B solo cuando pueda demostrar recurso o hábitat, función, servicio, beneficiario, cantidad afectada y periodo.</x:v>
      </x:c>
      <x:c r="M3" s="7" t="str">
        <x:v>Use B solo cuando pueda demostrar recurso o hábitat, función, servicio, beneficiario, cantidad afectada y periodo.</x:v>
      </x:c>
      <x:c r="N3" s="7" t="str">
        <x:v>Use B solo cuando pueda demostrar recurso o hábitat, función, servicio, beneficiario, cantidad afectada y periodo.</x:v>
      </x:c>
      <x:c r="O3" s="7" t="str">
        <x:v>Use B solo cuando pueda demostrar recurso o hábitat, función, servicio, beneficiario, cantidad afectada y periodo.</x:v>
      </x:c>
      <x:c r="P3" s="7" t="str">
        <x:v>Use B solo cuando pueda demostrar recurso o hábitat, función, servicio, beneficiario, cantidad afectada y periodo.</x:v>
      </x:c>
      <x:c r="Q3" s="7" t="str">
        <x:v>Use B solo cuando pueda demostrar recurso o hábitat, función, servicio, beneficiario, cantidad afectada y periodo.</x:v>
      </x:c>
      <x:c r="R3" s="7" t="str">
        <x:v>Use B solo cuando pueda demostrar recurso o hábitat, función, servicio, beneficiario, cantidad afectada y periodo.</x:v>
      </x:c>
      <x:c r="S3" s="7" t="str">
        <x:v>Use B solo cuando pueda demostrar recurso o hábitat, función, servicio, beneficiario, cantidad afectada y periodo.</x:v>
      </x:c>
      <x:c r="T3" s="7" t="str">
        <x:v>Use B solo cuando pueda demostrar recurso o hábitat, función, servicio, beneficiario, cantidad afectada y periodo.</x:v>
      </x:c>
      <x:c r="U3" s="7" t="str">
        <x:v>Use B solo cuando pueda demostrar recurso o hábitat, función, servicio, beneficiario, cantidad afectada y periodo.</x:v>
      </x:c>
      <x:c r="V3" s="7" t="str">
        <x:v>Use B solo cuando pueda demostrar recurso o hábitat, función, servicio, beneficiario, cantidad afectada y periodo.</x:v>
      </x:c>
      <x:c r="W3" s="7" t="str">
        <x:v>Use B solo cuando pueda demostrar recurso o hábitat, función, servicio, beneficiario, cantidad afectada y periodo.</x:v>
      </x:c>
      <x:c r="X3" s="7" t="str">
        <x:v>Use B solo cuando pueda demostrar recurso o hábitat, función, servicio, beneficiario, cantidad afectada y periodo.</x:v>
      </x:c>
      <x:c r="Y3" s="7" t="str">
        <x:v>Use B solo cuando pueda demostrar recurso o hábitat, función, servicio, beneficiario, cantidad afectada y periodo.</x:v>
      </x:c>
      <x:c r="Z3" s="7" t="str">
        <x:v>Use B solo cuando pueda demostrar recurso o hábitat, función, servicio, beneficiario, cantidad afectada y periodo.</x:v>
      </x:c>
      <x:c r="AA3" s="7" t="str">
        <x:v>Use B solo cuando pueda demostrar recurso o hábitat, función, servicio, beneficiario, cantidad afectada y periodo.</x:v>
      </x:c>
      <x:c r="AB3" s="7" t="str">
        <x:v>Use B solo cuando pueda demostrar recurso o hábitat, función, servicio, beneficiario, cantidad afectada y periodo.</x:v>
      </x:c>
      <x:c r="AC3" s="7" t="str">
        <x:v>Use B solo cuando pueda demostrar recurso o hábitat, función, servicio, beneficiario, cantidad afectada y periodo.</x:v>
      </x:c>
      <x:c r="AD3" s="7" t="str">
        <x:v>Use B solo cuando pueda demostrar recurso o hábitat, función, servicio, beneficiario, cantidad afectada y periodo.</x:v>
      </x:c>
      <x:c r="AE3" s="7" t="str">
        <x:v>Use B solo cuando pueda demostrar recurso o hábitat, función, servicio, beneficiario, cantidad afectada y periodo.</x:v>
      </x:c>
      <x:c r="AF3" s="7" t="str">
        <x:v>Use B solo cuando pueda demostrar recurso o hábitat, función, servicio, beneficiario, cantidad afectada y periodo.</x:v>
      </x:c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</x:row>
    <x:row r="6" ht="34" customHeight="1">
      <x:c r="A6" s="28" t="str">
        <x:v>ID</x:v>
      </x:c>
      <x:c r="B6" s="28" t="str">
        <x:v>Servicio</x:v>
      </x:c>
      <x:c r="C6" s="28" t="str">
        <x:v>Ecosistema</x:v>
      </x:c>
      <x:c r="D6" s="28" t="str">
        <x:v>Beneficiarios</x:v>
      </x:c>
      <x:c r="E6" s="28" t="str">
        <x:v>Unidad</x:v>
      </x:c>
      <x:c r="F6" s="28" t="str">
        <x:v>Tipo de fuente</x:v>
      </x:c>
      <x:c r="G6" s="28" t="str">
        <x:v>Estado del dato</x:v>
      </x:c>
      <x:c r="H6" s="28" t="str">
        <x:v>Unidades bajo</x:v>
      </x:c>
      <x:c r="I6" s="28" t="str">
        <x:v>Unidades central</x:v>
      </x:c>
      <x:c r="J6" s="28" t="str">
        <x:v>Unidades alto</x:v>
      </x:c>
      <x:c r="K6" s="28" t="str">
        <x:v>Valor unitario bajo</x:v>
      </x:c>
      <x:c r="L6" s="28" t="str">
        <x:v>Valor unitario central</x:v>
      </x:c>
      <x:c r="M6" s="28" t="str">
        <x:v>Valor unitario alto</x:v>
      </x:c>
      <x:c r="N6" s="28" t="str">
        <x:v>Pérdida bajo</x:v>
      </x:c>
      <x:c r="O6" s="28" t="str">
        <x:v>Pérdida central</x:v>
      </x:c>
      <x:c r="P6" s="28" t="str">
        <x:v>Pérdida alto</x:v>
      </x:c>
      <x:c r="Q6" s="28" t="str">
        <x:v>Años bajo</x:v>
      </x:c>
      <x:c r="R6" s="28" t="str">
        <x:v>Años central</x:v>
      </x:c>
      <x:c r="S6" s="28" t="str">
        <x:v>Años alto</x:v>
      </x:c>
      <x:c r="T6" s="28" t="str">
        <x:v>Perfil</x:v>
      </x:c>
      <x:c r="U6" s="28" t="str">
        <x:v>Nexo causal</x:v>
      </x:c>
      <x:c r="V6" s="28" t="str">
        <x:v>Evidencia</x:v>
      </x:c>
      <x:c r="W6" s="28" t="str">
        <x:v>Comparabilidad</x:v>
      </x:c>
      <x:c r="X6" s="28" t="str">
        <x:v>Grupo doble conteo</x:v>
      </x:c>
      <x:c r="Y6" s="28" t="str">
        <x:v>Fuente</x:v>
      </x:c>
      <x:c r="Z6" s="28" t="str">
        <x:v>Clasificación</x:v>
      </x:c>
      <x:c r="AA6" s="28" t="str">
        <x:v>Factor VP bajo</x:v>
      </x:c>
      <x:c r="AB6" s="28" t="str">
        <x:v>Factor VP central</x:v>
      </x:c>
      <x:c r="AC6" s="28" t="str">
        <x:v>Factor VP alto</x:v>
      </x:c>
      <x:c r="AD6" s="28" t="str">
        <x:v>Resultado bajo</x:v>
      </x:c>
      <x:c r="AE6" s="28" t="str">
        <x:v>Resultado central</x:v>
      </x:c>
      <x:c r="AF6" s="28" t="str">
        <x:v>Resultado alto</x:v>
      </x:c>
    </x:row>
    <x:row r="7">
      <x:c r="A7" s="21"/>
      <x:c r="B7" s="21"/>
      <x:c r="C7" s="21"/>
      <x:c r="D7" s="21"/>
      <x:c r="E7" s="21"/>
      <x:c r="F7" s="21"/>
      <x:c r="G7" s="21"/>
      <x:c r="H7" s="31"/>
      <x:c r="I7" s="31"/>
      <x:c r="J7" s="31"/>
      <x:c r="K7" s="31"/>
      <x:c r="L7" s="31"/>
      <x:c r="M7" s="31"/>
      <x:c r="N7" s="24"/>
      <x:c r="O7" s="24"/>
      <x:c r="P7" s="24"/>
      <x:c r="Q7" s="21"/>
      <x:c r="R7" s="21"/>
      <x:c r="S7" s="21"/>
      <x:c r="T7" s="21"/>
      <x:c r="U7" s="21"/>
      <x:c r="V7" s="21"/>
      <x:c r="W7" s="21"/>
      <x:c r="X7" s="21"/>
      <x:c r="Y7" s="21"/>
      <x:c r="Z7" s="30" t="str">
        <x:f>IF(B7="","",IF(OR(U7&lt;&gt;"Sí",V7="X"),"Excluido",IF(OR(V7="D",V7="E",W7="Baja"),"Exploratorio","Principal")))</x:f>
      </x:c>
      <x:c r="AA7" s="33" t="n">
        <x:f>IF(OR(N7="",Q7=""),0,IF(T7="Inmediata",0,IF(Q7&lt;=0,0,IF(CASO!$E$6=0,N7*IF(T7="Constante",Q7,(Q7+1)/2),N7*IF(T7="Constante",((1-(1/(1+CASO!$E$6))^Q7)/(1-(1/(1+CASO!$E$6)))),((1-(1/(1+CASO!$E$6))^Q7)/(1-(1/(1+CASO!$E$6))))-(((1/(1+CASO!$E$6))-Q7*(1/(1+CASO!$E$6))^Q7+(Q7-1)*(1/(1+CASO!$E$6))^(Q7+1))/(1-(1/(1+CASO!$E$6)))^2)/Q7)))))</x:f>
        <x:v>0</x:v>
      </x:c>
      <x:c r="AB7" s="33" t="n">
        <x:f>IF(OR(O7="",R7=""),0,IF(T7="Inmediata",0,IF(R7&lt;=0,0,IF(CASO!$E$7=0,O7*IF(T7="Constante",R7,(R7+1)/2),O7*IF(T7="Constante",((1-(1/(1+CASO!$E$7))^R7)/(1-(1/(1+CASO!$E$7)))),((1-(1/(1+CASO!$E$7))^R7)/(1-(1/(1+CASO!$E$7))))-(((1/(1+CASO!$E$7))-R7*(1/(1+CASO!$E$7))^R7+(R7-1)*(1/(1+CASO!$E$7))^(R7+1))/(1-(1/(1+CASO!$E$7)))^2)/R7)))))</x:f>
        <x:v>0</x:v>
      </x:c>
      <x:c r="AC7" s="33" t="n">
        <x:f>IF(OR(P7="",S7=""),0,IF(T7="Inmediata",0,IF(S7&lt;=0,0,IF(CASO!$E$8=0,P7*IF(T7="Constante",S7,(S7+1)/2),P7*IF(T7="Constante",((1-(1/(1+CASO!$E$8))^S7)/(1-(1/(1+CASO!$E$8)))),((1-(1/(1+CASO!$E$8))^S7)/(1-(1/(1+CASO!$E$8))))-(((1/(1+CASO!$E$8))-S7*(1/(1+CASO!$E$8))^S7+(S7-1)*(1/(1+CASO!$E$8))^(S7+1))/(1-(1/(1+CASO!$E$8)))^2)/S7)))))</x:f>
        <x:v>0</x:v>
      </x:c>
      <x:c r="AD7" s="32" t="n">
        <x:f>IF(OR(Z7="",Z7="Excluido"),0,H7*K7*AA7)</x:f>
        <x:v>0</x:v>
      </x:c>
      <x:c r="AE7" s="32" t="n">
        <x:f>IF(OR(Z7="",Z7="Excluido"),0,I7*L7*AB7)</x:f>
        <x:v>0</x:v>
      </x:c>
      <x:c r="AF7" s="32" t="n">
        <x:f>IF(OR(Z7="",Z7="Excluido"),0,J7*M7*AC7)</x:f>
        <x:v>0</x:v>
      </x:c>
    </x:row>
    <x:row r="8">
      <x:c r="A8" s="21"/>
      <x:c r="B8" s="21"/>
      <x:c r="C8" s="21"/>
      <x:c r="D8" s="21"/>
      <x:c r="E8" s="21"/>
      <x:c r="F8" s="21"/>
      <x:c r="G8" s="21"/>
      <x:c r="H8" s="31"/>
      <x:c r="I8" s="31"/>
      <x:c r="J8" s="31"/>
      <x:c r="K8" s="31"/>
      <x:c r="L8" s="31"/>
      <x:c r="M8" s="31"/>
      <x:c r="N8" s="24"/>
      <x:c r="O8" s="24"/>
      <x:c r="P8" s="24"/>
      <x:c r="Q8" s="21"/>
      <x:c r="R8" s="21"/>
      <x:c r="S8" s="21"/>
      <x:c r="T8" s="21"/>
      <x:c r="U8" s="21"/>
      <x:c r="V8" s="21"/>
      <x:c r="W8" s="21"/>
      <x:c r="X8" s="21"/>
      <x:c r="Y8" s="21"/>
      <x:c r="Z8" s="30" t="str">
        <x:f>IF(B8="","",IF(OR(U8&lt;&gt;"Sí",V8="X"),"Excluido",IF(OR(V8="D",V8="E",W8="Baja"),"Exploratorio","Principal")))</x:f>
      </x:c>
      <x:c r="AA8" s="33" t="n">
        <x:f>IF(OR(N8="",Q8=""),0,IF(T8="Inmediata",0,IF(Q8&lt;=0,0,IF(CASO!$E$6=0,N8*IF(T8="Constante",Q8,(Q8+1)/2),N8*IF(T8="Constante",((1-(1/(1+CASO!$E$6))^Q8)/(1-(1/(1+CASO!$E$6)))),((1-(1/(1+CASO!$E$6))^Q8)/(1-(1/(1+CASO!$E$6))))-(((1/(1+CASO!$E$6))-Q8*(1/(1+CASO!$E$6))^Q8+(Q8-1)*(1/(1+CASO!$E$6))^(Q8+1))/(1-(1/(1+CASO!$E$6)))^2)/Q8)))))</x:f>
        <x:v>0</x:v>
      </x:c>
      <x:c r="AB8" s="33" t="n">
        <x:f>IF(OR(O8="",R8=""),0,IF(T8="Inmediata",0,IF(R8&lt;=0,0,IF(CASO!$E$7=0,O8*IF(T8="Constante",R8,(R8+1)/2),O8*IF(T8="Constante",((1-(1/(1+CASO!$E$7))^R8)/(1-(1/(1+CASO!$E$7)))),((1-(1/(1+CASO!$E$7))^R8)/(1-(1/(1+CASO!$E$7))))-(((1/(1+CASO!$E$7))-R8*(1/(1+CASO!$E$7))^R8+(R8-1)*(1/(1+CASO!$E$7))^(R8+1))/(1-(1/(1+CASO!$E$7)))^2)/R8)))))</x:f>
        <x:v>0</x:v>
      </x:c>
      <x:c r="AC8" s="33" t="n">
        <x:f>IF(OR(P8="",S8=""),0,IF(T8="Inmediata",0,IF(S8&lt;=0,0,IF(CASO!$E$8=0,P8*IF(T8="Constante",S8,(S8+1)/2),P8*IF(T8="Constante",((1-(1/(1+CASO!$E$8))^S8)/(1-(1/(1+CASO!$E$8)))),((1-(1/(1+CASO!$E$8))^S8)/(1-(1/(1+CASO!$E$8))))-(((1/(1+CASO!$E$8))-S8*(1/(1+CASO!$E$8))^S8+(S8-1)*(1/(1+CASO!$E$8))^(S8+1))/(1-(1/(1+CASO!$E$8)))^2)/S8)))))</x:f>
        <x:v>0</x:v>
      </x:c>
      <x:c r="AD8" s="32" t="n">
        <x:f>IF(OR(Z8="",Z8="Excluido"),0,H8*K8*AA8)</x:f>
        <x:v>0</x:v>
      </x:c>
      <x:c r="AE8" s="32" t="n">
        <x:f>IF(OR(Z8="",Z8="Excluido"),0,I8*L8*AB8)</x:f>
        <x:v>0</x:v>
      </x:c>
      <x:c r="AF8" s="32" t="n">
        <x:f>IF(OR(Z8="",Z8="Excluido"),0,J8*M8*AC8)</x:f>
        <x:v>0</x:v>
      </x:c>
    </x:row>
    <x:row r="9">
      <x:c r="A9" s="21"/>
      <x:c r="B9" s="21"/>
      <x:c r="C9" s="21"/>
      <x:c r="D9" s="21"/>
      <x:c r="E9" s="21"/>
      <x:c r="F9" s="21"/>
      <x:c r="G9" s="21"/>
      <x:c r="H9" s="31"/>
      <x:c r="I9" s="31"/>
      <x:c r="J9" s="31"/>
      <x:c r="K9" s="31"/>
      <x:c r="L9" s="31"/>
      <x:c r="M9" s="31"/>
      <x:c r="N9" s="24"/>
      <x:c r="O9" s="24"/>
      <x:c r="P9" s="24"/>
      <x:c r="Q9" s="21"/>
      <x:c r="R9" s="21"/>
      <x:c r="S9" s="21"/>
      <x:c r="T9" s="21"/>
      <x:c r="U9" s="21"/>
      <x:c r="V9" s="21"/>
      <x:c r="W9" s="21"/>
      <x:c r="X9" s="21"/>
      <x:c r="Y9" s="21"/>
      <x:c r="Z9" s="30" t="str">
        <x:f>IF(B9="","",IF(OR(U9&lt;&gt;"Sí",V9="X"),"Excluido",IF(OR(V9="D",V9="E",W9="Baja"),"Exploratorio","Principal")))</x:f>
      </x:c>
      <x:c r="AA9" s="33" t="n">
        <x:f>IF(OR(N9="",Q9=""),0,IF(T9="Inmediata",0,IF(Q9&lt;=0,0,IF(CASO!$E$6=0,N9*IF(T9="Constante",Q9,(Q9+1)/2),N9*IF(T9="Constante",((1-(1/(1+CASO!$E$6))^Q9)/(1-(1/(1+CASO!$E$6)))),((1-(1/(1+CASO!$E$6))^Q9)/(1-(1/(1+CASO!$E$6))))-(((1/(1+CASO!$E$6))-Q9*(1/(1+CASO!$E$6))^Q9+(Q9-1)*(1/(1+CASO!$E$6))^(Q9+1))/(1-(1/(1+CASO!$E$6)))^2)/Q9)))))</x:f>
        <x:v>0</x:v>
      </x:c>
      <x:c r="AB9" s="33" t="n">
        <x:f>IF(OR(O9="",R9=""),0,IF(T9="Inmediata",0,IF(R9&lt;=0,0,IF(CASO!$E$7=0,O9*IF(T9="Constante",R9,(R9+1)/2),O9*IF(T9="Constante",((1-(1/(1+CASO!$E$7))^R9)/(1-(1/(1+CASO!$E$7)))),((1-(1/(1+CASO!$E$7))^R9)/(1-(1/(1+CASO!$E$7))))-(((1/(1+CASO!$E$7))-R9*(1/(1+CASO!$E$7))^R9+(R9-1)*(1/(1+CASO!$E$7))^(R9+1))/(1-(1/(1+CASO!$E$7)))^2)/R9)))))</x:f>
        <x:v>0</x:v>
      </x:c>
      <x:c r="AC9" s="33" t="n">
        <x:f>IF(OR(P9="",S9=""),0,IF(T9="Inmediata",0,IF(S9&lt;=0,0,IF(CASO!$E$8=0,P9*IF(T9="Constante",S9,(S9+1)/2),P9*IF(T9="Constante",((1-(1/(1+CASO!$E$8))^S9)/(1-(1/(1+CASO!$E$8)))),((1-(1/(1+CASO!$E$8))^S9)/(1-(1/(1+CASO!$E$8))))-(((1/(1+CASO!$E$8))-S9*(1/(1+CASO!$E$8))^S9+(S9-1)*(1/(1+CASO!$E$8))^(S9+1))/(1-(1/(1+CASO!$E$8)))^2)/S9)))))</x:f>
        <x:v>0</x:v>
      </x:c>
      <x:c r="AD9" s="32" t="n">
        <x:f>IF(OR(Z9="",Z9="Excluido"),0,H9*K9*AA9)</x:f>
        <x:v>0</x:v>
      </x:c>
      <x:c r="AE9" s="32" t="n">
        <x:f>IF(OR(Z9="",Z9="Excluido"),0,I9*L9*AB9)</x:f>
        <x:v>0</x:v>
      </x:c>
      <x:c r="AF9" s="32" t="n">
        <x:f>IF(OR(Z9="",Z9="Excluido"),0,J9*M9*AC9)</x:f>
        <x:v>0</x:v>
      </x:c>
    </x:row>
    <x:row r="10">
      <x:c r="A10" s="21"/>
      <x:c r="B10" s="21"/>
      <x:c r="C10" s="21"/>
      <x:c r="D10" s="21"/>
      <x:c r="E10" s="21"/>
      <x:c r="F10" s="21"/>
      <x:c r="G10" s="21"/>
      <x:c r="H10" s="31"/>
      <x:c r="I10" s="31"/>
      <x:c r="J10" s="31"/>
      <x:c r="K10" s="31"/>
      <x:c r="L10" s="31"/>
      <x:c r="M10" s="31"/>
      <x:c r="N10" s="24"/>
      <x:c r="O10" s="24"/>
      <x:c r="P10" s="24"/>
      <x:c r="Q10" s="21"/>
      <x:c r="R10" s="21"/>
      <x:c r="S10" s="21"/>
      <x:c r="T10" s="21"/>
      <x:c r="U10" s="21"/>
      <x:c r="V10" s="21"/>
      <x:c r="W10" s="21"/>
      <x:c r="X10" s="21"/>
      <x:c r="Y10" s="21"/>
      <x:c r="Z10" s="30" t="str">
        <x:f>IF(B10="","",IF(OR(U10&lt;&gt;"Sí",V10="X"),"Excluido",IF(OR(V10="D",V10="E",W10="Baja"),"Exploratorio","Principal")))</x:f>
      </x:c>
      <x:c r="AA10" s="33" t="n">
        <x:f>IF(OR(N10="",Q10=""),0,IF(T10="Inmediata",0,IF(Q10&lt;=0,0,IF(CASO!$E$6=0,N10*IF(T10="Constante",Q10,(Q10+1)/2),N10*IF(T10="Constante",((1-(1/(1+CASO!$E$6))^Q10)/(1-(1/(1+CASO!$E$6)))),((1-(1/(1+CASO!$E$6))^Q10)/(1-(1/(1+CASO!$E$6))))-(((1/(1+CASO!$E$6))-Q10*(1/(1+CASO!$E$6))^Q10+(Q10-1)*(1/(1+CASO!$E$6))^(Q10+1))/(1-(1/(1+CASO!$E$6)))^2)/Q10)))))</x:f>
        <x:v>0</x:v>
      </x:c>
      <x:c r="AB10" s="33" t="n">
        <x:f>IF(OR(O10="",R10=""),0,IF(T10="Inmediata",0,IF(R10&lt;=0,0,IF(CASO!$E$7=0,O10*IF(T10="Constante",R10,(R10+1)/2),O10*IF(T10="Constante",((1-(1/(1+CASO!$E$7))^R10)/(1-(1/(1+CASO!$E$7)))),((1-(1/(1+CASO!$E$7))^R10)/(1-(1/(1+CASO!$E$7))))-(((1/(1+CASO!$E$7))-R10*(1/(1+CASO!$E$7))^R10+(R10-1)*(1/(1+CASO!$E$7))^(R10+1))/(1-(1/(1+CASO!$E$7)))^2)/R10)))))</x:f>
        <x:v>0</x:v>
      </x:c>
      <x:c r="AC10" s="33" t="n">
        <x:f>IF(OR(P10="",S10=""),0,IF(T10="Inmediata",0,IF(S10&lt;=0,0,IF(CASO!$E$8=0,P10*IF(T10="Constante",S10,(S10+1)/2),P10*IF(T10="Constante",((1-(1/(1+CASO!$E$8))^S10)/(1-(1/(1+CASO!$E$8)))),((1-(1/(1+CASO!$E$8))^S10)/(1-(1/(1+CASO!$E$8))))-(((1/(1+CASO!$E$8))-S10*(1/(1+CASO!$E$8))^S10+(S10-1)*(1/(1+CASO!$E$8))^(S10+1))/(1-(1/(1+CASO!$E$8)))^2)/S10)))))</x:f>
        <x:v>0</x:v>
      </x:c>
      <x:c r="AD10" s="32" t="n">
        <x:f>IF(OR(Z10="",Z10="Excluido"),0,H10*K10*AA10)</x:f>
        <x:v>0</x:v>
      </x:c>
      <x:c r="AE10" s="32" t="n">
        <x:f>IF(OR(Z10="",Z10="Excluido"),0,I10*L10*AB10)</x:f>
        <x:v>0</x:v>
      </x:c>
      <x:c r="AF10" s="32" t="n">
        <x:f>IF(OR(Z10="",Z10="Excluido"),0,J10*M10*AC10)</x:f>
        <x:v>0</x:v>
      </x:c>
    </x:row>
    <x:row r="11">
      <x:c r="A11" s="21"/>
      <x:c r="B11" s="21"/>
      <x:c r="C11" s="21"/>
      <x:c r="D11" s="21"/>
      <x:c r="E11" s="21"/>
      <x:c r="F11" s="21"/>
      <x:c r="G11" s="21"/>
      <x:c r="H11" s="31"/>
      <x:c r="I11" s="31"/>
      <x:c r="J11" s="31"/>
      <x:c r="K11" s="31"/>
      <x:c r="L11" s="31"/>
      <x:c r="M11" s="31"/>
      <x:c r="N11" s="24"/>
      <x:c r="O11" s="24"/>
      <x:c r="P11" s="24"/>
      <x:c r="Q11" s="21"/>
      <x:c r="R11" s="21"/>
      <x:c r="S11" s="21"/>
      <x:c r="T11" s="21"/>
      <x:c r="U11" s="21"/>
      <x:c r="V11" s="21"/>
      <x:c r="W11" s="21"/>
      <x:c r="X11" s="21"/>
      <x:c r="Y11" s="21"/>
      <x:c r="Z11" s="30" t="str">
        <x:f>IF(B11="","",IF(OR(U11&lt;&gt;"Sí",V11="X"),"Excluido",IF(OR(V11="D",V11="E",W11="Baja"),"Exploratorio","Principal")))</x:f>
      </x:c>
      <x:c r="AA11" s="33" t="n">
        <x:f>IF(OR(N11="",Q11=""),0,IF(T11="Inmediata",0,IF(Q11&lt;=0,0,IF(CASO!$E$6=0,N11*IF(T11="Constante",Q11,(Q11+1)/2),N11*IF(T11="Constante",((1-(1/(1+CASO!$E$6))^Q11)/(1-(1/(1+CASO!$E$6)))),((1-(1/(1+CASO!$E$6))^Q11)/(1-(1/(1+CASO!$E$6))))-(((1/(1+CASO!$E$6))-Q11*(1/(1+CASO!$E$6))^Q11+(Q11-1)*(1/(1+CASO!$E$6))^(Q11+1))/(1-(1/(1+CASO!$E$6)))^2)/Q11)))))</x:f>
        <x:v>0</x:v>
      </x:c>
      <x:c r="AB11" s="33" t="n">
        <x:f>IF(OR(O11="",R11=""),0,IF(T11="Inmediata",0,IF(R11&lt;=0,0,IF(CASO!$E$7=0,O11*IF(T11="Constante",R11,(R11+1)/2),O11*IF(T11="Constante",((1-(1/(1+CASO!$E$7))^R11)/(1-(1/(1+CASO!$E$7)))),((1-(1/(1+CASO!$E$7))^R11)/(1-(1/(1+CASO!$E$7))))-(((1/(1+CASO!$E$7))-R11*(1/(1+CASO!$E$7))^R11+(R11-1)*(1/(1+CASO!$E$7))^(R11+1))/(1-(1/(1+CASO!$E$7)))^2)/R11)))))</x:f>
        <x:v>0</x:v>
      </x:c>
      <x:c r="AC11" s="33" t="n">
        <x:f>IF(OR(P11="",S11=""),0,IF(T11="Inmediata",0,IF(S11&lt;=0,0,IF(CASO!$E$8=0,P11*IF(T11="Constante",S11,(S11+1)/2),P11*IF(T11="Constante",((1-(1/(1+CASO!$E$8))^S11)/(1-(1/(1+CASO!$E$8)))),((1-(1/(1+CASO!$E$8))^S11)/(1-(1/(1+CASO!$E$8))))-(((1/(1+CASO!$E$8))-S11*(1/(1+CASO!$E$8))^S11+(S11-1)*(1/(1+CASO!$E$8))^(S11+1))/(1-(1/(1+CASO!$E$8)))^2)/S11)))))</x:f>
        <x:v>0</x:v>
      </x:c>
      <x:c r="AD11" s="32" t="n">
        <x:f>IF(OR(Z11="",Z11="Excluido"),0,H11*K11*AA11)</x:f>
        <x:v>0</x:v>
      </x:c>
      <x:c r="AE11" s="32" t="n">
        <x:f>IF(OR(Z11="",Z11="Excluido"),0,I11*L11*AB11)</x:f>
        <x:v>0</x:v>
      </x:c>
      <x:c r="AF11" s="32" t="n">
        <x:f>IF(OR(Z11="",Z11="Excluido"),0,J11*M11*AC11)</x:f>
        <x:v>0</x:v>
      </x:c>
    </x:row>
    <x:row r="12">
      <x:c r="A12" s="21"/>
      <x:c r="B12" s="21"/>
      <x:c r="C12" s="21"/>
      <x:c r="D12" s="21"/>
      <x:c r="E12" s="21"/>
      <x:c r="F12" s="21"/>
      <x:c r="G12" s="21"/>
      <x:c r="H12" s="31"/>
      <x:c r="I12" s="31"/>
      <x:c r="J12" s="31"/>
      <x:c r="K12" s="31"/>
      <x:c r="L12" s="31"/>
      <x:c r="M12" s="31"/>
      <x:c r="N12" s="24"/>
      <x:c r="O12" s="24"/>
      <x:c r="P12" s="24"/>
      <x:c r="Q12" s="21"/>
      <x:c r="R12" s="21"/>
      <x:c r="S12" s="21"/>
      <x:c r="T12" s="21"/>
      <x:c r="U12" s="21"/>
      <x:c r="V12" s="21"/>
      <x:c r="W12" s="21"/>
      <x:c r="X12" s="21"/>
      <x:c r="Y12" s="21"/>
      <x:c r="Z12" s="30" t="str">
        <x:f>IF(B12="","",IF(OR(U12&lt;&gt;"Sí",V12="X"),"Excluido",IF(OR(V12="D",V12="E",W12="Baja"),"Exploratorio","Principal")))</x:f>
      </x:c>
      <x:c r="AA12" s="33" t="n">
        <x:f>IF(OR(N12="",Q12=""),0,IF(T12="Inmediata",0,IF(Q12&lt;=0,0,IF(CASO!$E$6=0,N12*IF(T12="Constante",Q12,(Q12+1)/2),N12*IF(T12="Constante",((1-(1/(1+CASO!$E$6))^Q12)/(1-(1/(1+CASO!$E$6)))),((1-(1/(1+CASO!$E$6))^Q12)/(1-(1/(1+CASO!$E$6))))-(((1/(1+CASO!$E$6))-Q12*(1/(1+CASO!$E$6))^Q12+(Q12-1)*(1/(1+CASO!$E$6))^(Q12+1))/(1-(1/(1+CASO!$E$6)))^2)/Q12)))))</x:f>
        <x:v>0</x:v>
      </x:c>
      <x:c r="AB12" s="33" t="n">
        <x:f>IF(OR(O12="",R12=""),0,IF(T12="Inmediata",0,IF(R12&lt;=0,0,IF(CASO!$E$7=0,O12*IF(T12="Constante",R12,(R12+1)/2),O12*IF(T12="Constante",((1-(1/(1+CASO!$E$7))^R12)/(1-(1/(1+CASO!$E$7)))),((1-(1/(1+CASO!$E$7))^R12)/(1-(1/(1+CASO!$E$7))))-(((1/(1+CASO!$E$7))-R12*(1/(1+CASO!$E$7))^R12+(R12-1)*(1/(1+CASO!$E$7))^(R12+1))/(1-(1/(1+CASO!$E$7)))^2)/R12)))))</x:f>
        <x:v>0</x:v>
      </x:c>
      <x:c r="AC12" s="33" t="n">
        <x:f>IF(OR(P12="",S12=""),0,IF(T12="Inmediata",0,IF(S12&lt;=0,0,IF(CASO!$E$8=0,P12*IF(T12="Constante",S12,(S12+1)/2),P12*IF(T12="Constante",((1-(1/(1+CASO!$E$8))^S12)/(1-(1/(1+CASO!$E$8)))),((1-(1/(1+CASO!$E$8))^S12)/(1-(1/(1+CASO!$E$8))))-(((1/(1+CASO!$E$8))-S12*(1/(1+CASO!$E$8))^S12+(S12-1)*(1/(1+CASO!$E$8))^(S12+1))/(1-(1/(1+CASO!$E$8)))^2)/S12)))))</x:f>
        <x:v>0</x:v>
      </x:c>
      <x:c r="AD12" s="32" t="n">
        <x:f>IF(OR(Z12="",Z12="Excluido"),0,H12*K12*AA12)</x:f>
        <x:v>0</x:v>
      </x:c>
      <x:c r="AE12" s="32" t="n">
        <x:f>IF(OR(Z12="",Z12="Excluido"),0,I12*L12*AB12)</x:f>
        <x:v>0</x:v>
      </x:c>
      <x:c r="AF12" s="32" t="n">
        <x:f>IF(OR(Z12="",Z12="Excluido"),0,J12*M12*AC12)</x:f>
        <x:v>0</x:v>
      </x:c>
    </x:row>
    <x:row r="13">
      <x:c r="A13" s="21"/>
      <x:c r="B13" s="21"/>
      <x:c r="C13" s="21"/>
      <x:c r="D13" s="21"/>
      <x:c r="E13" s="21"/>
      <x:c r="F13" s="21"/>
      <x:c r="G13" s="21"/>
      <x:c r="H13" s="31"/>
      <x:c r="I13" s="31"/>
      <x:c r="J13" s="31"/>
      <x:c r="K13" s="31"/>
      <x:c r="L13" s="31"/>
      <x:c r="M13" s="31"/>
      <x:c r="N13" s="24"/>
      <x:c r="O13" s="24"/>
      <x:c r="P13" s="24"/>
      <x:c r="Q13" s="21"/>
      <x:c r="R13" s="21"/>
      <x:c r="S13" s="21"/>
      <x:c r="T13" s="21"/>
      <x:c r="U13" s="21"/>
      <x:c r="V13" s="21"/>
      <x:c r="W13" s="21"/>
      <x:c r="X13" s="21"/>
      <x:c r="Y13" s="21"/>
      <x:c r="Z13" s="30" t="str">
        <x:f>IF(B13="","",IF(OR(U13&lt;&gt;"Sí",V13="X"),"Excluido",IF(OR(V13="D",V13="E",W13="Baja"),"Exploratorio","Principal")))</x:f>
      </x:c>
      <x:c r="AA13" s="33" t="n">
        <x:f>IF(OR(N13="",Q13=""),0,IF(T13="Inmediata",0,IF(Q13&lt;=0,0,IF(CASO!$E$6=0,N13*IF(T13="Constante",Q13,(Q13+1)/2),N13*IF(T13="Constante",((1-(1/(1+CASO!$E$6))^Q13)/(1-(1/(1+CASO!$E$6)))),((1-(1/(1+CASO!$E$6))^Q13)/(1-(1/(1+CASO!$E$6))))-(((1/(1+CASO!$E$6))-Q13*(1/(1+CASO!$E$6))^Q13+(Q13-1)*(1/(1+CASO!$E$6))^(Q13+1))/(1-(1/(1+CASO!$E$6)))^2)/Q13)))))</x:f>
        <x:v>0</x:v>
      </x:c>
      <x:c r="AB13" s="33" t="n">
        <x:f>IF(OR(O13="",R13=""),0,IF(T13="Inmediata",0,IF(R13&lt;=0,0,IF(CASO!$E$7=0,O13*IF(T13="Constante",R13,(R13+1)/2),O13*IF(T13="Constante",((1-(1/(1+CASO!$E$7))^R13)/(1-(1/(1+CASO!$E$7)))),((1-(1/(1+CASO!$E$7))^R13)/(1-(1/(1+CASO!$E$7))))-(((1/(1+CASO!$E$7))-R13*(1/(1+CASO!$E$7))^R13+(R13-1)*(1/(1+CASO!$E$7))^(R13+1))/(1-(1/(1+CASO!$E$7)))^2)/R13)))))</x:f>
        <x:v>0</x:v>
      </x:c>
      <x:c r="AC13" s="33" t="n">
        <x:f>IF(OR(P13="",S13=""),0,IF(T13="Inmediata",0,IF(S13&lt;=0,0,IF(CASO!$E$8=0,P13*IF(T13="Constante",S13,(S13+1)/2),P13*IF(T13="Constante",((1-(1/(1+CASO!$E$8))^S13)/(1-(1/(1+CASO!$E$8)))),((1-(1/(1+CASO!$E$8))^S13)/(1-(1/(1+CASO!$E$8))))-(((1/(1+CASO!$E$8))-S13*(1/(1+CASO!$E$8))^S13+(S13-1)*(1/(1+CASO!$E$8))^(S13+1))/(1-(1/(1+CASO!$E$8)))^2)/S13)))))</x:f>
        <x:v>0</x:v>
      </x:c>
      <x:c r="AD13" s="32" t="n">
        <x:f>IF(OR(Z13="",Z13="Excluido"),0,H13*K13*AA13)</x:f>
        <x:v>0</x:v>
      </x:c>
      <x:c r="AE13" s="32" t="n">
        <x:f>IF(OR(Z13="",Z13="Excluido"),0,I13*L13*AB13)</x:f>
        <x:v>0</x:v>
      </x:c>
      <x:c r="AF13" s="32" t="n">
        <x:f>IF(OR(Z13="",Z13="Excluido"),0,J13*M13*AC13)</x:f>
        <x:v>0</x:v>
      </x:c>
    </x:row>
    <x:row r="14">
      <x:c r="A14" s="21"/>
      <x:c r="B14" s="21"/>
      <x:c r="C14" s="21"/>
      <x:c r="D14" s="21"/>
      <x:c r="E14" s="21"/>
      <x:c r="F14" s="21"/>
      <x:c r="G14" s="21"/>
      <x:c r="H14" s="31"/>
      <x:c r="I14" s="31"/>
      <x:c r="J14" s="31"/>
      <x:c r="K14" s="31"/>
      <x:c r="L14" s="31"/>
      <x:c r="M14" s="31"/>
      <x:c r="N14" s="24"/>
      <x:c r="O14" s="24"/>
      <x:c r="P14" s="24"/>
      <x:c r="Q14" s="21"/>
      <x:c r="R14" s="21"/>
      <x:c r="S14" s="21"/>
      <x:c r="T14" s="21"/>
      <x:c r="U14" s="21"/>
      <x:c r="V14" s="21"/>
      <x:c r="W14" s="21"/>
      <x:c r="X14" s="21"/>
      <x:c r="Y14" s="21"/>
      <x:c r="Z14" s="30" t="str">
        <x:f>IF(B14="","",IF(OR(U14&lt;&gt;"Sí",V14="X"),"Excluido",IF(OR(V14="D",V14="E",W14="Baja"),"Exploratorio","Principal")))</x:f>
      </x:c>
      <x:c r="AA14" s="33" t="n">
        <x:f>IF(OR(N14="",Q14=""),0,IF(T14="Inmediata",0,IF(Q14&lt;=0,0,IF(CASO!$E$6=0,N14*IF(T14="Constante",Q14,(Q14+1)/2),N14*IF(T14="Constante",((1-(1/(1+CASO!$E$6))^Q14)/(1-(1/(1+CASO!$E$6)))),((1-(1/(1+CASO!$E$6))^Q14)/(1-(1/(1+CASO!$E$6))))-(((1/(1+CASO!$E$6))-Q14*(1/(1+CASO!$E$6))^Q14+(Q14-1)*(1/(1+CASO!$E$6))^(Q14+1))/(1-(1/(1+CASO!$E$6)))^2)/Q14)))))</x:f>
        <x:v>0</x:v>
      </x:c>
      <x:c r="AB14" s="33" t="n">
        <x:f>IF(OR(O14="",R14=""),0,IF(T14="Inmediata",0,IF(R14&lt;=0,0,IF(CASO!$E$7=0,O14*IF(T14="Constante",R14,(R14+1)/2),O14*IF(T14="Constante",((1-(1/(1+CASO!$E$7))^R14)/(1-(1/(1+CASO!$E$7)))),((1-(1/(1+CASO!$E$7))^R14)/(1-(1/(1+CASO!$E$7))))-(((1/(1+CASO!$E$7))-R14*(1/(1+CASO!$E$7))^R14+(R14-1)*(1/(1+CASO!$E$7))^(R14+1))/(1-(1/(1+CASO!$E$7)))^2)/R14)))))</x:f>
        <x:v>0</x:v>
      </x:c>
      <x:c r="AC14" s="33" t="n">
        <x:f>IF(OR(P14="",S14=""),0,IF(T14="Inmediata",0,IF(S14&lt;=0,0,IF(CASO!$E$8=0,P14*IF(T14="Constante",S14,(S14+1)/2),P14*IF(T14="Constante",((1-(1/(1+CASO!$E$8))^S14)/(1-(1/(1+CASO!$E$8)))),((1-(1/(1+CASO!$E$8))^S14)/(1-(1/(1+CASO!$E$8))))-(((1/(1+CASO!$E$8))-S14*(1/(1+CASO!$E$8))^S14+(S14-1)*(1/(1+CASO!$E$8))^(S14+1))/(1-(1/(1+CASO!$E$8)))^2)/S14)))))</x:f>
        <x:v>0</x:v>
      </x:c>
      <x:c r="AD14" s="32" t="n">
        <x:f>IF(OR(Z14="",Z14="Excluido"),0,H14*K14*AA14)</x:f>
        <x:v>0</x:v>
      </x:c>
      <x:c r="AE14" s="32" t="n">
        <x:f>IF(OR(Z14="",Z14="Excluido"),0,I14*L14*AB14)</x:f>
        <x:v>0</x:v>
      </x:c>
      <x:c r="AF14" s="32" t="n">
        <x:f>IF(OR(Z14="",Z14="Excluido"),0,J14*M14*AC14)</x:f>
        <x:v>0</x:v>
      </x:c>
    </x:row>
    <x:row r="15">
      <x:c r="A15" s="21"/>
      <x:c r="B15" s="21"/>
      <x:c r="C15" s="21"/>
      <x:c r="D15" s="21"/>
      <x:c r="E15" s="21"/>
      <x:c r="F15" s="21"/>
      <x:c r="G15" s="21"/>
      <x:c r="H15" s="31"/>
      <x:c r="I15" s="31"/>
      <x:c r="J15" s="31"/>
      <x:c r="K15" s="31"/>
      <x:c r="L15" s="31"/>
      <x:c r="M15" s="31"/>
      <x:c r="N15" s="24"/>
      <x:c r="O15" s="24"/>
      <x:c r="P15" s="24"/>
      <x:c r="Q15" s="21"/>
      <x:c r="R15" s="21"/>
      <x:c r="S15" s="21"/>
      <x:c r="T15" s="21"/>
      <x:c r="U15" s="21"/>
      <x:c r="V15" s="21"/>
      <x:c r="W15" s="21"/>
      <x:c r="X15" s="21"/>
      <x:c r="Y15" s="21"/>
      <x:c r="Z15" s="30" t="str">
        <x:f>IF(B15="","",IF(OR(U15&lt;&gt;"Sí",V15="X"),"Excluido",IF(OR(V15="D",V15="E",W15="Baja"),"Exploratorio","Principal")))</x:f>
      </x:c>
      <x:c r="AA15" s="33" t="n">
        <x:f>IF(OR(N15="",Q15=""),0,IF(T15="Inmediata",0,IF(Q15&lt;=0,0,IF(CASO!$E$6=0,N15*IF(T15="Constante",Q15,(Q15+1)/2),N15*IF(T15="Constante",((1-(1/(1+CASO!$E$6))^Q15)/(1-(1/(1+CASO!$E$6)))),((1-(1/(1+CASO!$E$6))^Q15)/(1-(1/(1+CASO!$E$6))))-(((1/(1+CASO!$E$6))-Q15*(1/(1+CASO!$E$6))^Q15+(Q15-1)*(1/(1+CASO!$E$6))^(Q15+1))/(1-(1/(1+CASO!$E$6)))^2)/Q15)))))</x:f>
        <x:v>0</x:v>
      </x:c>
      <x:c r="AB15" s="33" t="n">
        <x:f>IF(OR(O15="",R15=""),0,IF(T15="Inmediata",0,IF(R15&lt;=0,0,IF(CASO!$E$7=0,O15*IF(T15="Constante",R15,(R15+1)/2),O15*IF(T15="Constante",((1-(1/(1+CASO!$E$7))^R15)/(1-(1/(1+CASO!$E$7)))),((1-(1/(1+CASO!$E$7))^R15)/(1-(1/(1+CASO!$E$7))))-(((1/(1+CASO!$E$7))-R15*(1/(1+CASO!$E$7))^R15+(R15-1)*(1/(1+CASO!$E$7))^(R15+1))/(1-(1/(1+CASO!$E$7)))^2)/R15)))))</x:f>
        <x:v>0</x:v>
      </x:c>
      <x:c r="AC15" s="33" t="n">
        <x:f>IF(OR(P15="",S15=""),0,IF(T15="Inmediata",0,IF(S15&lt;=0,0,IF(CASO!$E$8=0,P15*IF(T15="Constante",S15,(S15+1)/2),P15*IF(T15="Constante",((1-(1/(1+CASO!$E$8))^S15)/(1-(1/(1+CASO!$E$8)))),((1-(1/(1+CASO!$E$8))^S15)/(1-(1/(1+CASO!$E$8))))-(((1/(1+CASO!$E$8))-S15*(1/(1+CASO!$E$8))^S15+(S15-1)*(1/(1+CASO!$E$8))^(S15+1))/(1-(1/(1+CASO!$E$8)))^2)/S15)))))</x:f>
        <x:v>0</x:v>
      </x:c>
      <x:c r="AD15" s="32" t="n">
        <x:f>IF(OR(Z15="",Z15="Excluido"),0,H15*K15*AA15)</x:f>
        <x:v>0</x:v>
      </x:c>
      <x:c r="AE15" s="32" t="n">
        <x:f>IF(OR(Z15="",Z15="Excluido"),0,I15*L15*AB15)</x:f>
        <x:v>0</x:v>
      </x:c>
      <x:c r="AF15" s="32" t="n">
        <x:f>IF(OR(Z15="",Z15="Excluido"),0,J15*M15*AC15)</x:f>
        <x:v>0</x:v>
      </x:c>
    </x:row>
    <x:row r="16">
      <x:c r="A16" s="21"/>
      <x:c r="B16" s="21"/>
      <x:c r="C16" s="21"/>
      <x:c r="D16" s="21"/>
      <x:c r="E16" s="21"/>
      <x:c r="F16" s="21"/>
      <x:c r="G16" s="21"/>
      <x:c r="H16" s="31"/>
      <x:c r="I16" s="31"/>
      <x:c r="J16" s="31"/>
      <x:c r="K16" s="31"/>
      <x:c r="L16" s="31"/>
      <x:c r="M16" s="31"/>
      <x:c r="N16" s="24"/>
      <x:c r="O16" s="24"/>
      <x:c r="P16" s="24"/>
      <x:c r="Q16" s="21"/>
      <x:c r="R16" s="21"/>
      <x:c r="S16" s="21"/>
      <x:c r="T16" s="21"/>
      <x:c r="U16" s="21"/>
      <x:c r="V16" s="21"/>
      <x:c r="W16" s="21"/>
      <x:c r="X16" s="21"/>
      <x:c r="Y16" s="21"/>
      <x:c r="Z16" s="30" t="str">
        <x:f>IF(B16="","",IF(OR(U16&lt;&gt;"Sí",V16="X"),"Excluido",IF(OR(V16="D",V16="E",W16="Baja"),"Exploratorio","Principal")))</x:f>
      </x:c>
      <x:c r="AA16" s="33" t="n">
        <x:f>IF(OR(N16="",Q16=""),0,IF(T16="Inmediata",0,IF(Q16&lt;=0,0,IF(CASO!$E$6=0,N16*IF(T16="Constante",Q16,(Q16+1)/2),N16*IF(T16="Constante",((1-(1/(1+CASO!$E$6))^Q16)/(1-(1/(1+CASO!$E$6)))),((1-(1/(1+CASO!$E$6))^Q16)/(1-(1/(1+CASO!$E$6))))-(((1/(1+CASO!$E$6))-Q16*(1/(1+CASO!$E$6))^Q16+(Q16-1)*(1/(1+CASO!$E$6))^(Q16+1))/(1-(1/(1+CASO!$E$6)))^2)/Q16)))))</x:f>
        <x:v>0</x:v>
      </x:c>
      <x:c r="AB16" s="33" t="n">
        <x:f>IF(OR(O16="",R16=""),0,IF(T16="Inmediata",0,IF(R16&lt;=0,0,IF(CASO!$E$7=0,O16*IF(T16="Constante",R16,(R16+1)/2),O16*IF(T16="Constante",((1-(1/(1+CASO!$E$7))^R16)/(1-(1/(1+CASO!$E$7)))),((1-(1/(1+CASO!$E$7))^R16)/(1-(1/(1+CASO!$E$7))))-(((1/(1+CASO!$E$7))-R16*(1/(1+CASO!$E$7))^R16+(R16-1)*(1/(1+CASO!$E$7))^(R16+1))/(1-(1/(1+CASO!$E$7)))^2)/R16)))))</x:f>
        <x:v>0</x:v>
      </x:c>
      <x:c r="AC16" s="33" t="n">
        <x:f>IF(OR(P16="",S16=""),0,IF(T16="Inmediata",0,IF(S16&lt;=0,0,IF(CASO!$E$8=0,P16*IF(T16="Constante",S16,(S16+1)/2),P16*IF(T16="Constante",((1-(1/(1+CASO!$E$8))^S16)/(1-(1/(1+CASO!$E$8)))),((1-(1/(1+CASO!$E$8))^S16)/(1-(1/(1+CASO!$E$8))))-(((1/(1+CASO!$E$8))-S16*(1/(1+CASO!$E$8))^S16+(S16-1)*(1/(1+CASO!$E$8))^(S16+1))/(1-(1/(1+CASO!$E$8)))^2)/S16)))))</x:f>
        <x:v>0</x:v>
      </x:c>
      <x:c r="AD16" s="32" t="n">
        <x:f>IF(OR(Z16="",Z16="Excluido"),0,H16*K16*AA16)</x:f>
        <x:v>0</x:v>
      </x:c>
      <x:c r="AE16" s="32" t="n">
        <x:f>IF(OR(Z16="",Z16="Excluido"),0,I16*L16*AB16)</x:f>
        <x:v>0</x:v>
      </x:c>
      <x:c r="AF16" s="32" t="n">
        <x:f>IF(OR(Z16="",Z16="Excluido"),0,J16*M16*AC16)</x:f>
        <x:v>0</x:v>
      </x:c>
    </x:row>
    <x:row r="17">
      <x:c r="A17" s="21"/>
      <x:c r="B17" s="21"/>
      <x:c r="C17" s="21"/>
      <x:c r="D17" s="21"/>
      <x:c r="E17" s="21"/>
      <x:c r="F17" s="21"/>
      <x:c r="G17" s="21"/>
      <x:c r="H17" s="31"/>
      <x:c r="I17" s="31"/>
      <x:c r="J17" s="31"/>
      <x:c r="K17" s="31"/>
      <x:c r="L17" s="31"/>
      <x:c r="M17" s="31"/>
      <x:c r="N17" s="24"/>
      <x:c r="O17" s="24"/>
      <x:c r="P17" s="24"/>
      <x:c r="Q17" s="21"/>
      <x:c r="R17" s="21"/>
      <x:c r="S17" s="21"/>
      <x:c r="T17" s="21"/>
      <x:c r="U17" s="21"/>
      <x:c r="V17" s="21"/>
      <x:c r="W17" s="21"/>
      <x:c r="X17" s="21"/>
      <x:c r="Y17" s="21"/>
      <x:c r="Z17" s="30" t="str">
        <x:f>IF(B17="","",IF(OR(U17&lt;&gt;"Sí",V17="X"),"Excluido",IF(OR(V17="D",V17="E",W17="Baja"),"Exploratorio","Principal")))</x:f>
      </x:c>
      <x:c r="AA17" s="33" t="n">
        <x:f>IF(OR(N17="",Q17=""),0,IF(T17="Inmediata",0,IF(Q17&lt;=0,0,IF(CASO!$E$6=0,N17*IF(T17="Constante",Q17,(Q17+1)/2),N17*IF(T17="Constante",((1-(1/(1+CASO!$E$6))^Q17)/(1-(1/(1+CASO!$E$6)))),((1-(1/(1+CASO!$E$6))^Q17)/(1-(1/(1+CASO!$E$6))))-(((1/(1+CASO!$E$6))-Q17*(1/(1+CASO!$E$6))^Q17+(Q17-1)*(1/(1+CASO!$E$6))^(Q17+1))/(1-(1/(1+CASO!$E$6)))^2)/Q17)))))</x:f>
        <x:v>0</x:v>
      </x:c>
      <x:c r="AB17" s="33" t="n">
        <x:f>IF(OR(O17="",R17=""),0,IF(T17="Inmediata",0,IF(R17&lt;=0,0,IF(CASO!$E$7=0,O17*IF(T17="Constante",R17,(R17+1)/2),O17*IF(T17="Constante",((1-(1/(1+CASO!$E$7))^R17)/(1-(1/(1+CASO!$E$7)))),((1-(1/(1+CASO!$E$7))^R17)/(1-(1/(1+CASO!$E$7))))-(((1/(1+CASO!$E$7))-R17*(1/(1+CASO!$E$7))^R17+(R17-1)*(1/(1+CASO!$E$7))^(R17+1))/(1-(1/(1+CASO!$E$7)))^2)/R17)))))</x:f>
        <x:v>0</x:v>
      </x:c>
      <x:c r="AC17" s="33" t="n">
        <x:f>IF(OR(P17="",S17=""),0,IF(T17="Inmediata",0,IF(S17&lt;=0,0,IF(CASO!$E$8=0,P17*IF(T17="Constante",S17,(S17+1)/2),P17*IF(T17="Constante",((1-(1/(1+CASO!$E$8))^S17)/(1-(1/(1+CASO!$E$8)))),((1-(1/(1+CASO!$E$8))^S17)/(1-(1/(1+CASO!$E$8))))-(((1/(1+CASO!$E$8))-S17*(1/(1+CASO!$E$8))^S17+(S17-1)*(1/(1+CASO!$E$8))^(S17+1))/(1-(1/(1+CASO!$E$8)))^2)/S17)))))</x:f>
        <x:v>0</x:v>
      </x:c>
      <x:c r="AD17" s="32" t="n">
        <x:f>IF(OR(Z17="",Z17="Excluido"),0,H17*K17*AA17)</x:f>
        <x:v>0</x:v>
      </x:c>
      <x:c r="AE17" s="32" t="n">
        <x:f>IF(OR(Z17="",Z17="Excluido"),0,I17*L17*AB17)</x:f>
        <x:v>0</x:v>
      </x:c>
      <x:c r="AF17" s="32" t="n">
        <x:f>IF(OR(Z17="",Z17="Excluido"),0,J17*M17*AC17)</x:f>
        <x:v>0</x:v>
      </x:c>
    </x:row>
    <x:row r="18">
      <x:c r="A18" s="21"/>
      <x:c r="B18" s="21"/>
      <x:c r="C18" s="21"/>
      <x:c r="D18" s="21"/>
      <x:c r="E18" s="21"/>
      <x:c r="F18" s="21"/>
      <x:c r="G18" s="21"/>
      <x:c r="H18" s="31"/>
      <x:c r="I18" s="31"/>
      <x:c r="J18" s="31"/>
      <x:c r="K18" s="31"/>
      <x:c r="L18" s="31"/>
      <x:c r="M18" s="31"/>
      <x:c r="N18" s="24"/>
      <x:c r="O18" s="24"/>
      <x:c r="P18" s="24"/>
      <x:c r="Q18" s="21"/>
      <x:c r="R18" s="21"/>
      <x:c r="S18" s="21"/>
      <x:c r="T18" s="21"/>
      <x:c r="U18" s="21"/>
      <x:c r="V18" s="21"/>
      <x:c r="W18" s="21"/>
      <x:c r="X18" s="21"/>
      <x:c r="Y18" s="21"/>
      <x:c r="Z18" s="30" t="str">
        <x:f>IF(B18="","",IF(OR(U18&lt;&gt;"Sí",V18="X"),"Excluido",IF(OR(V18="D",V18="E",W18="Baja"),"Exploratorio","Principal")))</x:f>
      </x:c>
      <x:c r="AA18" s="33" t="n">
        <x:f>IF(OR(N18="",Q18=""),0,IF(T18="Inmediata",0,IF(Q18&lt;=0,0,IF(CASO!$E$6=0,N18*IF(T18="Constante",Q18,(Q18+1)/2),N18*IF(T18="Constante",((1-(1/(1+CASO!$E$6))^Q18)/(1-(1/(1+CASO!$E$6)))),((1-(1/(1+CASO!$E$6))^Q18)/(1-(1/(1+CASO!$E$6))))-(((1/(1+CASO!$E$6))-Q18*(1/(1+CASO!$E$6))^Q18+(Q18-1)*(1/(1+CASO!$E$6))^(Q18+1))/(1-(1/(1+CASO!$E$6)))^2)/Q18)))))</x:f>
        <x:v>0</x:v>
      </x:c>
      <x:c r="AB18" s="33" t="n">
        <x:f>IF(OR(O18="",R18=""),0,IF(T18="Inmediata",0,IF(R18&lt;=0,0,IF(CASO!$E$7=0,O18*IF(T18="Constante",R18,(R18+1)/2),O18*IF(T18="Constante",((1-(1/(1+CASO!$E$7))^R18)/(1-(1/(1+CASO!$E$7)))),((1-(1/(1+CASO!$E$7))^R18)/(1-(1/(1+CASO!$E$7))))-(((1/(1+CASO!$E$7))-R18*(1/(1+CASO!$E$7))^R18+(R18-1)*(1/(1+CASO!$E$7))^(R18+1))/(1-(1/(1+CASO!$E$7)))^2)/R18)))))</x:f>
        <x:v>0</x:v>
      </x:c>
      <x:c r="AC18" s="33" t="n">
        <x:f>IF(OR(P18="",S18=""),0,IF(T18="Inmediata",0,IF(S18&lt;=0,0,IF(CASO!$E$8=0,P18*IF(T18="Constante",S18,(S18+1)/2),P18*IF(T18="Constante",((1-(1/(1+CASO!$E$8))^S18)/(1-(1/(1+CASO!$E$8)))),((1-(1/(1+CASO!$E$8))^S18)/(1-(1/(1+CASO!$E$8))))-(((1/(1+CASO!$E$8))-S18*(1/(1+CASO!$E$8))^S18+(S18-1)*(1/(1+CASO!$E$8))^(S18+1))/(1-(1/(1+CASO!$E$8)))^2)/S18)))))</x:f>
        <x:v>0</x:v>
      </x:c>
      <x:c r="AD18" s="32" t="n">
        <x:f>IF(OR(Z18="",Z18="Excluido"),0,H18*K18*AA18)</x:f>
        <x:v>0</x:v>
      </x:c>
      <x:c r="AE18" s="32" t="n">
        <x:f>IF(OR(Z18="",Z18="Excluido"),0,I18*L18*AB18)</x:f>
        <x:v>0</x:v>
      </x:c>
      <x:c r="AF18" s="32" t="n">
        <x:f>IF(OR(Z18="",Z18="Excluido"),0,J18*M18*AC18)</x:f>
        <x:v>0</x:v>
      </x:c>
    </x:row>
    <x:row r="19">
      <x:c r="A19" s="21"/>
      <x:c r="B19" s="21"/>
      <x:c r="C19" s="21"/>
      <x:c r="D19" s="21"/>
      <x:c r="E19" s="21"/>
      <x:c r="F19" s="21"/>
      <x:c r="G19" s="21"/>
      <x:c r="H19" s="31"/>
      <x:c r="I19" s="31"/>
      <x:c r="J19" s="31"/>
      <x:c r="K19" s="31"/>
      <x:c r="L19" s="31"/>
      <x:c r="M19" s="31"/>
      <x:c r="N19" s="24"/>
      <x:c r="O19" s="24"/>
      <x:c r="P19" s="24"/>
      <x:c r="Q19" s="21"/>
      <x:c r="R19" s="21"/>
      <x:c r="S19" s="21"/>
      <x:c r="T19" s="21"/>
      <x:c r="U19" s="21"/>
      <x:c r="V19" s="21"/>
      <x:c r="W19" s="21"/>
      <x:c r="X19" s="21"/>
      <x:c r="Y19" s="21"/>
      <x:c r="Z19" s="30" t="str">
        <x:f>IF(B19="","",IF(OR(U19&lt;&gt;"Sí",V19="X"),"Excluido",IF(OR(V19="D",V19="E",W19="Baja"),"Exploratorio","Principal")))</x:f>
      </x:c>
      <x:c r="AA19" s="33" t="n">
        <x:f>IF(OR(N19="",Q19=""),0,IF(T19="Inmediata",0,IF(Q19&lt;=0,0,IF(CASO!$E$6=0,N19*IF(T19="Constante",Q19,(Q19+1)/2),N19*IF(T19="Constante",((1-(1/(1+CASO!$E$6))^Q19)/(1-(1/(1+CASO!$E$6)))),((1-(1/(1+CASO!$E$6))^Q19)/(1-(1/(1+CASO!$E$6))))-(((1/(1+CASO!$E$6))-Q19*(1/(1+CASO!$E$6))^Q19+(Q19-1)*(1/(1+CASO!$E$6))^(Q19+1))/(1-(1/(1+CASO!$E$6)))^2)/Q19)))))</x:f>
        <x:v>0</x:v>
      </x:c>
      <x:c r="AB19" s="33" t="n">
        <x:f>IF(OR(O19="",R19=""),0,IF(T19="Inmediata",0,IF(R19&lt;=0,0,IF(CASO!$E$7=0,O19*IF(T19="Constante",R19,(R19+1)/2),O19*IF(T19="Constante",((1-(1/(1+CASO!$E$7))^R19)/(1-(1/(1+CASO!$E$7)))),((1-(1/(1+CASO!$E$7))^R19)/(1-(1/(1+CASO!$E$7))))-(((1/(1+CASO!$E$7))-R19*(1/(1+CASO!$E$7))^R19+(R19-1)*(1/(1+CASO!$E$7))^(R19+1))/(1-(1/(1+CASO!$E$7)))^2)/R19)))))</x:f>
        <x:v>0</x:v>
      </x:c>
      <x:c r="AC19" s="33" t="n">
        <x:f>IF(OR(P19="",S19=""),0,IF(T19="Inmediata",0,IF(S19&lt;=0,0,IF(CASO!$E$8=0,P19*IF(T19="Constante",S19,(S19+1)/2),P19*IF(T19="Constante",((1-(1/(1+CASO!$E$8))^S19)/(1-(1/(1+CASO!$E$8)))),((1-(1/(1+CASO!$E$8))^S19)/(1-(1/(1+CASO!$E$8))))-(((1/(1+CASO!$E$8))-S19*(1/(1+CASO!$E$8))^S19+(S19-1)*(1/(1+CASO!$E$8))^(S19+1))/(1-(1/(1+CASO!$E$8)))^2)/S19)))))</x:f>
        <x:v>0</x:v>
      </x:c>
      <x:c r="AD19" s="32" t="n">
        <x:f>IF(OR(Z19="",Z19="Excluido"),0,H19*K19*AA19)</x:f>
        <x:v>0</x:v>
      </x:c>
      <x:c r="AE19" s="32" t="n">
        <x:f>IF(OR(Z19="",Z19="Excluido"),0,I19*L19*AB19)</x:f>
        <x:v>0</x:v>
      </x:c>
      <x:c r="AF19" s="32" t="n">
        <x:f>IF(OR(Z19="",Z19="Excluido"),0,J19*M19*AC19)</x:f>
        <x:v>0</x:v>
      </x:c>
    </x:row>
    <x:row r="20">
      <x:c r="A20" s="21"/>
      <x:c r="B20" s="21"/>
      <x:c r="C20" s="21"/>
      <x:c r="D20" s="21"/>
      <x:c r="E20" s="21"/>
      <x:c r="F20" s="21"/>
      <x:c r="G20" s="21"/>
      <x:c r="H20" s="31"/>
      <x:c r="I20" s="31"/>
      <x:c r="J20" s="31"/>
      <x:c r="K20" s="31"/>
      <x:c r="L20" s="31"/>
      <x:c r="M20" s="31"/>
      <x:c r="N20" s="24"/>
      <x:c r="O20" s="24"/>
      <x:c r="P20" s="24"/>
      <x:c r="Q20" s="21"/>
      <x:c r="R20" s="21"/>
      <x:c r="S20" s="21"/>
      <x:c r="T20" s="21"/>
      <x:c r="U20" s="21"/>
      <x:c r="V20" s="21"/>
      <x:c r="W20" s="21"/>
      <x:c r="X20" s="21"/>
      <x:c r="Y20" s="21"/>
      <x:c r="Z20" s="30" t="str">
        <x:f>IF(B20="","",IF(OR(U20&lt;&gt;"Sí",V20="X"),"Excluido",IF(OR(V20="D",V20="E",W20="Baja"),"Exploratorio","Principal")))</x:f>
      </x:c>
      <x:c r="AA20" s="33" t="n">
        <x:f>IF(OR(N20="",Q20=""),0,IF(T20="Inmediata",0,IF(Q20&lt;=0,0,IF(CASO!$E$6=0,N20*IF(T20="Constante",Q20,(Q20+1)/2),N20*IF(T20="Constante",((1-(1/(1+CASO!$E$6))^Q20)/(1-(1/(1+CASO!$E$6)))),((1-(1/(1+CASO!$E$6))^Q20)/(1-(1/(1+CASO!$E$6))))-(((1/(1+CASO!$E$6))-Q20*(1/(1+CASO!$E$6))^Q20+(Q20-1)*(1/(1+CASO!$E$6))^(Q20+1))/(1-(1/(1+CASO!$E$6)))^2)/Q20)))))</x:f>
        <x:v>0</x:v>
      </x:c>
      <x:c r="AB20" s="33" t="n">
        <x:f>IF(OR(O20="",R20=""),0,IF(T20="Inmediata",0,IF(R20&lt;=0,0,IF(CASO!$E$7=0,O20*IF(T20="Constante",R20,(R20+1)/2),O20*IF(T20="Constante",((1-(1/(1+CASO!$E$7))^R20)/(1-(1/(1+CASO!$E$7)))),((1-(1/(1+CASO!$E$7))^R20)/(1-(1/(1+CASO!$E$7))))-(((1/(1+CASO!$E$7))-R20*(1/(1+CASO!$E$7))^R20+(R20-1)*(1/(1+CASO!$E$7))^(R20+1))/(1-(1/(1+CASO!$E$7)))^2)/R20)))))</x:f>
        <x:v>0</x:v>
      </x:c>
      <x:c r="AC20" s="33" t="n">
        <x:f>IF(OR(P20="",S20=""),0,IF(T20="Inmediata",0,IF(S20&lt;=0,0,IF(CASO!$E$8=0,P20*IF(T20="Constante",S20,(S20+1)/2),P20*IF(T20="Constante",((1-(1/(1+CASO!$E$8))^S20)/(1-(1/(1+CASO!$E$8)))),((1-(1/(1+CASO!$E$8))^S20)/(1-(1/(1+CASO!$E$8))))-(((1/(1+CASO!$E$8))-S20*(1/(1+CASO!$E$8))^S20+(S20-1)*(1/(1+CASO!$E$8))^(S20+1))/(1-(1/(1+CASO!$E$8)))^2)/S20)))))</x:f>
        <x:v>0</x:v>
      </x:c>
      <x:c r="AD20" s="32" t="n">
        <x:f>IF(OR(Z20="",Z20="Excluido"),0,H20*K20*AA20)</x:f>
        <x:v>0</x:v>
      </x:c>
      <x:c r="AE20" s="32" t="n">
        <x:f>IF(OR(Z20="",Z20="Excluido"),0,I20*L20*AB20)</x:f>
        <x:v>0</x:v>
      </x:c>
      <x:c r="AF20" s="32" t="n">
        <x:f>IF(OR(Z20="",Z20="Excluido"),0,J20*M20*AC20)</x:f>
        <x:v>0</x:v>
      </x:c>
    </x:row>
    <x:row r="21">
      <x:c r="A21" s="21"/>
      <x:c r="B21" s="21"/>
      <x:c r="C21" s="21"/>
      <x:c r="D21" s="21"/>
      <x:c r="E21" s="21"/>
      <x:c r="F21" s="21"/>
      <x:c r="G21" s="21"/>
      <x:c r="H21" s="31"/>
      <x:c r="I21" s="31"/>
      <x:c r="J21" s="31"/>
      <x:c r="K21" s="31"/>
      <x:c r="L21" s="31"/>
      <x:c r="M21" s="31"/>
      <x:c r="N21" s="24"/>
      <x:c r="O21" s="24"/>
      <x:c r="P21" s="24"/>
      <x:c r="Q21" s="21"/>
      <x:c r="R21" s="21"/>
      <x:c r="S21" s="21"/>
      <x:c r="T21" s="21"/>
      <x:c r="U21" s="21"/>
      <x:c r="V21" s="21"/>
      <x:c r="W21" s="21"/>
      <x:c r="X21" s="21"/>
      <x:c r="Y21" s="21"/>
      <x:c r="Z21" s="30" t="str">
        <x:f>IF(B21="","",IF(OR(U21&lt;&gt;"Sí",V21="X"),"Excluido",IF(OR(V21="D",V21="E",W21="Baja"),"Exploratorio","Principal")))</x:f>
      </x:c>
      <x:c r="AA21" s="33" t="n">
        <x:f>IF(OR(N21="",Q21=""),0,IF(T21="Inmediata",0,IF(Q21&lt;=0,0,IF(CASO!$E$6=0,N21*IF(T21="Constante",Q21,(Q21+1)/2),N21*IF(T21="Constante",((1-(1/(1+CASO!$E$6))^Q21)/(1-(1/(1+CASO!$E$6)))),((1-(1/(1+CASO!$E$6))^Q21)/(1-(1/(1+CASO!$E$6))))-(((1/(1+CASO!$E$6))-Q21*(1/(1+CASO!$E$6))^Q21+(Q21-1)*(1/(1+CASO!$E$6))^(Q21+1))/(1-(1/(1+CASO!$E$6)))^2)/Q21)))))</x:f>
        <x:v>0</x:v>
      </x:c>
      <x:c r="AB21" s="33" t="n">
        <x:f>IF(OR(O21="",R21=""),0,IF(T21="Inmediata",0,IF(R21&lt;=0,0,IF(CASO!$E$7=0,O21*IF(T21="Constante",R21,(R21+1)/2),O21*IF(T21="Constante",((1-(1/(1+CASO!$E$7))^R21)/(1-(1/(1+CASO!$E$7)))),((1-(1/(1+CASO!$E$7))^R21)/(1-(1/(1+CASO!$E$7))))-(((1/(1+CASO!$E$7))-R21*(1/(1+CASO!$E$7))^R21+(R21-1)*(1/(1+CASO!$E$7))^(R21+1))/(1-(1/(1+CASO!$E$7)))^2)/R21)))))</x:f>
        <x:v>0</x:v>
      </x:c>
      <x:c r="AC21" s="33" t="n">
        <x:f>IF(OR(P21="",S21=""),0,IF(T21="Inmediata",0,IF(S21&lt;=0,0,IF(CASO!$E$8=0,P21*IF(T21="Constante",S21,(S21+1)/2),P21*IF(T21="Constante",((1-(1/(1+CASO!$E$8))^S21)/(1-(1/(1+CASO!$E$8)))),((1-(1/(1+CASO!$E$8))^S21)/(1-(1/(1+CASO!$E$8))))-(((1/(1+CASO!$E$8))-S21*(1/(1+CASO!$E$8))^S21+(S21-1)*(1/(1+CASO!$E$8))^(S21+1))/(1-(1/(1+CASO!$E$8)))^2)/S21)))))</x:f>
        <x:v>0</x:v>
      </x:c>
      <x:c r="AD21" s="32" t="n">
        <x:f>IF(OR(Z21="",Z21="Excluido"),0,H21*K21*AA21)</x:f>
        <x:v>0</x:v>
      </x:c>
      <x:c r="AE21" s="32" t="n">
        <x:f>IF(OR(Z21="",Z21="Excluido"),0,I21*L21*AB21)</x:f>
        <x:v>0</x:v>
      </x:c>
      <x:c r="AF21" s="32" t="n">
        <x:f>IF(OR(Z21="",Z21="Excluido"),0,J21*M21*AC21)</x:f>
        <x:v>0</x:v>
      </x:c>
    </x:row>
    <x:row r="22">
      <x:c r="A22" s="21"/>
      <x:c r="B22" s="21"/>
      <x:c r="C22" s="21"/>
      <x:c r="D22" s="21"/>
      <x:c r="E22" s="21"/>
      <x:c r="F22" s="21"/>
      <x:c r="G22" s="21"/>
      <x:c r="H22" s="31"/>
      <x:c r="I22" s="31"/>
      <x:c r="J22" s="31"/>
      <x:c r="K22" s="31"/>
      <x:c r="L22" s="31"/>
      <x:c r="M22" s="31"/>
      <x:c r="N22" s="24"/>
      <x:c r="O22" s="24"/>
      <x:c r="P22" s="24"/>
      <x:c r="Q22" s="21"/>
      <x:c r="R22" s="21"/>
      <x:c r="S22" s="21"/>
      <x:c r="T22" s="21"/>
      <x:c r="U22" s="21"/>
      <x:c r="V22" s="21"/>
      <x:c r="W22" s="21"/>
      <x:c r="X22" s="21"/>
      <x:c r="Y22" s="21"/>
      <x:c r="Z22" s="30" t="str">
        <x:f>IF(B22="","",IF(OR(U22&lt;&gt;"Sí",V22="X"),"Excluido",IF(OR(V22="D",V22="E",W22="Baja"),"Exploratorio","Principal")))</x:f>
      </x:c>
      <x:c r="AA22" s="33" t="n">
        <x:f>IF(OR(N22="",Q22=""),0,IF(T22="Inmediata",0,IF(Q22&lt;=0,0,IF(CASO!$E$6=0,N22*IF(T22="Constante",Q22,(Q22+1)/2),N22*IF(T22="Constante",((1-(1/(1+CASO!$E$6))^Q22)/(1-(1/(1+CASO!$E$6)))),((1-(1/(1+CASO!$E$6))^Q22)/(1-(1/(1+CASO!$E$6))))-(((1/(1+CASO!$E$6))-Q22*(1/(1+CASO!$E$6))^Q22+(Q22-1)*(1/(1+CASO!$E$6))^(Q22+1))/(1-(1/(1+CASO!$E$6)))^2)/Q22)))))</x:f>
        <x:v>0</x:v>
      </x:c>
      <x:c r="AB22" s="33" t="n">
        <x:f>IF(OR(O22="",R22=""),0,IF(T22="Inmediata",0,IF(R22&lt;=0,0,IF(CASO!$E$7=0,O22*IF(T22="Constante",R22,(R22+1)/2),O22*IF(T22="Constante",((1-(1/(1+CASO!$E$7))^R22)/(1-(1/(1+CASO!$E$7)))),((1-(1/(1+CASO!$E$7))^R22)/(1-(1/(1+CASO!$E$7))))-(((1/(1+CASO!$E$7))-R22*(1/(1+CASO!$E$7))^R22+(R22-1)*(1/(1+CASO!$E$7))^(R22+1))/(1-(1/(1+CASO!$E$7)))^2)/R22)))))</x:f>
        <x:v>0</x:v>
      </x:c>
      <x:c r="AC22" s="33" t="n">
        <x:f>IF(OR(P22="",S22=""),0,IF(T22="Inmediata",0,IF(S22&lt;=0,0,IF(CASO!$E$8=0,P22*IF(T22="Constante",S22,(S22+1)/2),P22*IF(T22="Constante",((1-(1/(1+CASO!$E$8))^S22)/(1-(1/(1+CASO!$E$8)))),((1-(1/(1+CASO!$E$8))^S22)/(1-(1/(1+CASO!$E$8))))-(((1/(1+CASO!$E$8))-S22*(1/(1+CASO!$E$8))^S22+(S22-1)*(1/(1+CASO!$E$8))^(S22+1))/(1-(1/(1+CASO!$E$8)))^2)/S22)))))</x:f>
        <x:v>0</x:v>
      </x:c>
      <x:c r="AD22" s="32" t="n">
        <x:f>IF(OR(Z22="",Z22="Excluido"),0,H22*K22*AA22)</x:f>
        <x:v>0</x:v>
      </x:c>
      <x:c r="AE22" s="32" t="n">
        <x:f>IF(OR(Z22="",Z22="Excluido"),0,I22*L22*AB22)</x:f>
        <x:v>0</x:v>
      </x:c>
      <x:c r="AF22" s="32" t="n">
        <x:f>IF(OR(Z22="",Z22="Excluido"),0,J22*M22*AC22)</x:f>
        <x:v>0</x:v>
      </x:c>
    </x:row>
    <x:row r="23">
      <x:c r="A23" s="21"/>
      <x:c r="B23" s="21"/>
      <x:c r="C23" s="21"/>
      <x:c r="D23" s="21"/>
      <x:c r="E23" s="21"/>
      <x:c r="F23" s="21"/>
      <x:c r="G23" s="21"/>
      <x:c r="H23" s="31"/>
      <x:c r="I23" s="31"/>
      <x:c r="J23" s="31"/>
      <x:c r="K23" s="31"/>
      <x:c r="L23" s="31"/>
      <x:c r="M23" s="31"/>
      <x:c r="N23" s="24"/>
      <x:c r="O23" s="24"/>
      <x:c r="P23" s="24"/>
      <x:c r="Q23" s="21"/>
      <x:c r="R23" s="21"/>
      <x:c r="S23" s="21"/>
      <x:c r="T23" s="21"/>
      <x:c r="U23" s="21"/>
      <x:c r="V23" s="21"/>
      <x:c r="W23" s="21"/>
      <x:c r="X23" s="21"/>
      <x:c r="Y23" s="21"/>
      <x:c r="Z23" s="30" t="str">
        <x:f>IF(B23="","",IF(OR(U23&lt;&gt;"Sí",V23="X"),"Excluido",IF(OR(V23="D",V23="E",W23="Baja"),"Exploratorio","Principal")))</x:f>
      </x:c>
      <x:c r="AA23" s="33" t="n">
        <x:f>IF(OR(N23="",Q23=""),0,IF(T23="Inmediata",0,IF(Q23&lt;=0,0,IF(CASO!$E$6=0,N23*IF(T23="Constante",Q23,(Q23+1)/2),N23*IF(T23="Constante",((1-(1/(1+CASO!$E$6))^Q23)/(1-(1/(1+CASO!$E$6)))),((1-(1/(1+CASO!$E$6))^Q23)/(1-(1/(1+CASO!$E$6))))-(((1/(1+CASO!$E$6))-Q23*(1/(1+CASO!$E$6))^Q23+(Q23-1)*(1/(1+CASO!$E$6))^(Q23+1))/(1-(1/(1+CASO!$E$6)))^2)/Q23)))))</x:f>
        <x:v>0</x:v>
      </x:c>
      <x:c r="AB23" s="33" t="n">
        <x:f>IF(OR(O23="",R23=""),0,IF(T23="Inmediata",0,IF(R23&lt;=0,0,IF(CASO!$E$7=0,O23*IF(T23="Constante",R23,(R23+1)/2),O23*IF(T23="Constante",((1-(1/(1+CASO!$E$7))^R23)/(1-(1/(1+CASO!$E$7)))),((1-(1/(1+CASO!$E$7))^R23)/(1-(1/(1+CASO!$E$7))))-(((1/(1+CASO!$E$7))-R23*(1/(1+CASO!$E$7))^R23+(R23-1)*(1/(1+CASO!$E$7))^(R23+1))/(1-(1/(1+CASO!$E$7)))^2)/R23)))))</x:f>
        <x:v>0</x:v>
      </x:c>
      <x:c r="AC23" s="33" t="n">
        <x:f>IF(OR(P23="",S23=""),0,IF(T23="Inmediata",0,IF(S23&lt;=0,0,IF(CASO!$E$8=0,P23*IF(T23="Constante",S23,(S23+1)/2),P23*IF(T23="Constante",((1-(1/(1+CASO!$E$8))^S23)/(1-(1/(1+CASO!$E$8)))),((1-(1/(1+CASO!$E$8))^S23)/(1-(1/(1+CASO!$E$8))))-(((1/(1+CASO!$E$8))-S23*(1/(1+CASO!$E$8))^S23+(S23-1)*(1/(1+CASO!$E$8))^(S23+1))/(1-(1/(1+CASO!$E$8)))^2)/S23)))))</x:f>
        <x:v>0</x:v>
      </x:c>
      <x:c r="AD23" s="32" t="n">
        <x:f>IF(OR(Z23="",Z23="Excluido"),0,H23*K23*AA23)</x:f>
        <x:v>0</x:v>
      </x:c>
      <x:c r="AE23" s="32" t="n">
        <x:f>IF(OR(Z23="",Z23="Excluido"),0,I23*L23*AB23)</x:f>
        <x:v>0</x:v>
      </x:c>
      <x:c r="AF23" s="32" t="n">
        <x:f>IF(OR(Z23="",Z23="Excluido"),0,J23*M23*AC23)</x:f>
        <x:v>0</x:v>
      </x:c>
    </x:row>
    <x:row r="24">
      <x:c r="A24" s="21"/>
      <x:c r="B24" s="21"/>
      <x:c r="C24" s="21"/>
      <x:c r="D24" s="21"/>
      <x:c r="E24" s="21"/>
      <x:c r="F24" s="21"/>
      <x:c r="G24" s="21"/>
      <x:c r="H24" s="31"/>
      <x:c r="I24" s="31"/>
      <x:c r="J24" s="31"/>
      <x:c r="K24" s="31"/>
      <x:c r="L24" s="31"/>
      <x:c r="M24" s="31"/>
      <x:c r="N24" s="24"/>
      <x:c r="O24" s="24"/>
      <x:c r="P24" s="24"/>
      <x:c r="Q24" s="21"/>
      <x:c r="R24" s="21"/>
      <x:c r="S24" s="21"/>
      <x:c r="T24" s="21"/>
      <x:c r="U24" s="21"/>
      <x:c r="V24" s="21"/>
      <x:c r="W24" s="21"/>
      <x:c r="X24" s="21"/>
      <x:c r="Y24" s="21"/>
      <x:c r="Z24" s="30" t="str">
        <x:f>IF(B24="","",IF(OR(U24&lt;&gt;"Sí",V24="X"),"Excluido",IF(OR(V24="D",V24="E",W24="Baja"),"Exploratorio","Principal")))</x:f>
      </x:c>
      <x:c r="AA24" s="33" t="n">
        <x:f>IF(OR(N24="",Q24=""),0,IF(T24="Inmediata",0,IF(Q24&lt;=0,0,IF(CASO!$E$6=0,N24*IF(T24="Constante",Q24,(Q24+1)/2),N24*IF(T24="Constante",((1-(1/(1+CASO!$E$6))^Q24)/(1-(1/(1+CASO!$E$6)))),((1-(1/(1+CASO!$E$6))^Q24)/(1-(1/(1+CASO!$E$6))))-(((1/(1+CASO!$E$6))-Q24*(1/(1+CASO!$E$6))^Q24+(Q24-1)*(1/(1+CASO!$E$6))^(Q24+1))/(1-(1/(1+CASO!$E$6)))^2)/Q24)))))</x:f>
        <x:v>0</x:v>
      </x:c>
      <x:c r="AB24" s="33" t="n">
        <x:f>IF(OR(O24="",R24=""),0,IF(T24="Inmediata",0,IF(R24&lt;=0,0,IF(CASO!$E$7=0,O24*IF(T24="Constante",R24,(R24+1)/2),O24*IF(T24="Constante",((1-(1/(1+CASO!$E$7))^R24)/(1-(1/(1+CASO!$E$7)))),((1-(1/(1+CASO!$E$7))^R24)/(1-(1/(1+CASO!$E$7))))-(((1/(1+CASO!$E$7))-R24*(1/(1+CASO!$E$7))^R24+(R24-1)*(1/(1+CASO!$E$7))^(R24+1))/(1-(1/(1+CASO!$E$7)))^2)/R24)))))</x:f>
        <x:v>0</x:v>
      </x:c>
      <x:c r="AC24" s="33" t="n">
        <x:f>IF(OR(P24="",S24=""),0,IF(T24="Inmediata",0,IF(S24&lt;=0,0,IF(CASO!$E$8=0,P24*IF(T24="Constante",S24,(S24+1)/2),P24*IF(T24="Constante",((1-(1/(1+CASO!$E$8))^S24)/(1-(1/(1+CASO!$E$8)))),((1-(1/(1+CASO!$E$8))^S24)/(1-(1/(1+CASO!$E$8))))-(((1/(1+CASO!$E$8))-S24*(1/(1+CASO!$E$8))^S24+(S24-1)*(1/(1+CASO!$E$8))^(S24+1))/(1-(1/(1+CASO!$E$8)))^2)/S24)))))</x:f>
        <x:v>0</x:v>
      </x:c>
      <x:c r="AD24" s="32" t="n">
        <x:f>IF(OR(Z24="",Z24="Excluido"),0,H24*K24*AA24)</x:f>
        <x:v>0</x:v>
      </x:c>
      <x:c r="AE24" s="32" t="n">
        <x:f>IF(OR(Z24="",Z24="Excluido"),0,I24*L24*AB24)</x:f>
        <x:v>0</x:v>
      </x:c>
      <x:c r="AF24" s="32" t="n">
        <x:f>IF(OR(Z24="",Z24="Excluido"),0,J24*M24*AC24)</x:f>
        <x:v>0</x:v>
      </x:c>
    </x:row>
    <x:row r="25">
      <x:c r="A25" s="21"/>
      <x:c r="B25" s="21"/>
      <x:c r="C25" s="21"/>
      <x:c r="D25" s="21"/>
      <x:c r="E25" s="21"/>
      <x:c r="F25" s="21"/>
      <x:c r="G25" s="21"/>
      <x:c r="H25" s="31"/>
      <x:c r="I25" s="31"/>
      <x:c r="J25" s="31"/>
      <x:c r="K25" s="31"/>
      <x:c r="L25" s="31"/>
      <x:c r="M25" s="31"/>
      <x:c r="N25" s="24"/>
      <x:c r="O25" s="24"/>
      <x:c r="P25" s="24"/>
      <x:c r="Q25" s="21"/>
      <x:c r="R25" s="21"/>
      <x:c r="S25" s="21"/>
      <x:c r="T25" s="21"/>
      <x:c r="U25" s="21"/>
      <x:c r="V25" s="21"/>
      <x:c r="W25" s="21"/>
      <x:c r="X25" s="21"/>
      <x:c r="Y25" s="21"/>
      <x:c r="Z25" s="30" t="str">
        <x:f>IF(B25="","",IF(OR(U25&lt;&gt;"Sí",V25="X"),"Excluido",IF(OR(V25="D",V25="E",W25="Baja"),"Exploratorio","Principal")))</x:f>
      </x:c>
      <x:c r="AA25" s="33" t="n">
        <x:f>IF(OR(N25="",Q25=""),0,IF(T25="Inmediata",0,IF(Q25&lt;=0,0,IF(CASO!$E$6=0,N25*IF(T25="Constante",Q25,(Q25+1)/2),N25*IF(T25="Constante",((1-(1/(1+CASO!$E$6))^Q25)/(1-(1/(1+CASO!$E$6)))),((1-(1/(1+CASO!$E$6))^Q25)/(1-(1/(1+CASO!$E$6))))-(((1/(1+CASO!$E$6))-Q25*(1/(1+CASO!$E$6))^Q25+(Q25-1)*(1/(1+CASO!$E$6))^(Q25+1))/(1-(1/(1+CASO!$E$6)))^2)/Q25)))))</x:f>
        <x:v>0</x:v>
      </x:c>
      <x:c r="AB25" s="33" t="n">
        <x:f>IF(OR(O25="",R25=""),0,IF(T25="Inmediata",0,IF(R25&lt;=0,0,IF(CASO!$E$7=0,O25*IF(T25="Constante",R25,(R25+1)/2),O25*IF(T25="Constante",((1-(1/(1+CASO!$E$7))^R25)/(1-(1/(1+CASO!$E$7)))),((1-(1/(1+CASO!$E$7))^R25)/(1-(1/(1+CASO!$E$7))))-(((1/(1+CASO!$E$7))-R25*(1/(1+CASO!$E$7))^R25+(R25-1)*(1/(1+CASO!$E$7))^(R25+1))/(1-(1/(1+CASO!$E$7)))^2)/R25)))))</x:f>
        <x:v>0</x:v>
      </x:c>
      <x:c r="AC25" s="33" t="n">
        <x:f>IF(OR(P25="",S25=""),0,IF(T25="Inmediata",0,IF(S25&lt;=0,0,IF(CASO!$E$8=0,P25*IF(T25="Constante",S25,(S25+1)/2),P25*IF(T25="Constante",((1-(1/(1+CASO!$E$8))^S25)/(1-(1/(1+CASO!$E$8)))),((1-(1/(1+CASO!$E$8))^S25)/(1-(1/(1+CASO!$E$8))))-(((1/(1+CASO!$E$8))-S25*(1/(1+CASO!$E$8))^S25+(S25-1)*(1/(1+CASO!$E$8))^(S25+1))/(1-(1/(1+CASO!$E$8)))^2)/S25)))))</x:f>
        <x:v>0</x:v>
      </x:c>
      <x:c r="AD25" s="32" t="n">
        <x:f>IF(OR(Z25="",Z25="Excluido"),0,H25*K25*AA25)</x:f>
        <x:v>0</x:v>
      </x:c>
      <x:c r="AE25" s="32" t="n">
        <x:f>IF(OR(Z25="",Z25="Excluido"),0,I25*L25*AB25)</x:f>
        <x:v>0</x:v>
      </x:c>
      <x:c r="AF25" s="32" t="n">
        <x:f>IF(OR(Z25="",Z25="Excluido"),0,J25*M25*AC25)</x:f>
        <x:v>0</x:v>
      </x:c>
    </x:row>
    <x:row r="26">
      <x:c r="A26" s="21"/>
      <x:c r="B26" s="21"/>
      <x:c r="C26" s="21"/>
      <x:c r="D26" s="21"/>
      <x:c r="E26" s="21"/>
      <x:c r="F26" s="21"/>
      <x:c r="G26" s="21"/>
      <x:c r="H26" s="31"/>
      <x:c r="I26" s="31"/>
      <x:c r="J26" s="31"/>
      <x:c r="K26" s="31"/>
      <x:c r="L26" s="31"/>
      <x:c r="M26" s="31"/>
      <x:c r="N26" s="24"/>
      <x:c r="O26" s="24"/>
      <x:c r="P26" s="24"/>
      <x:c r="Q26" s="21"/>
      <x:c r="R26" s="21"/>
      <x:c r="S26" s="21"/>
      <x:c r="T26" s="21"/>
      <x:c r="U26" s="21"/>
      <x:c r="V26" s="21"/>
      <x:c r="W26" s="21"/>
      <x:c r="X26" s="21"/>
      <x:c r="Y26" s="21"/>
      <x:c r="Z26" s="30" t="str">
        <x:f>IF(B26="","",IF(OR(U26&lt;&gt;"Sí",V26="X"),"Excluido",IF(OR(V26="D",V26="E",W26="Baja"),"Exploratorio","Principal")))</x:f>
      </x:c>
      <x:c r="AA26" s="33" t="n">
        <x:f>IF(OR(N26="",Q26=""),0,IF(T26="Inmediata",0,IF(Q26&lt;=0,0,IF(CASO!$E$6=0,N26*IF(T26="Constante",Q26,(Q26+1)/2),N26*IF(T26="Constante",((1-(1/(1+CASO!$E$6))^Q26)/(1-(1/(1+CASO!$E$6)))),((1-(1/(1+CASO!$E$6))^Q26)/(1-(1/(1+CASO!$E$6))))-(((1/(1+CASO!$E$6))-Q26*(1/(1+CASO!$E$6))^Q26+(Q26-1)*(1/(1+CASO!$E$6))^(Q26+1))/(1-(1/(1+CASO!$E$6)))^2)/Q26)))))</x:f>
        <x:v>0</x:v>
      </x:c>
      <x:c r="AB26" s="33" t="n">
        <x:f>IF(OR(O26="",R26=""),0,IF(T26="Inmediata",0,IF(R26&lt;=0,0,IF(CASO!$E$7=0,O26*IF(T26="Constante",R26,(R26+1)/2),O26*IF(T26="Constante",((1-(1/(1+CASO!$E$7))^R26)/(1-(1/(1+CASO!$E$7)))),((1-(1/(1+CASO!$E$7))^R26)/(1-(1/(1+CASO!$E$7))))-(((1/(1+CASO!$E$7))-R26*(1/(1+CASO!$E$7))^R26+(R26-1)*(1/(1+CASO!$E$7))^(R26+1))/(1-(1/(1+CASO!$E$7)))^2)/R26)))))</x:f>
        <x:v>0</x:v>
      </x:c>
      <x:c r="AC26" s="33" t="n">
        <x:f>IF(OR(P26="",S26=""),0,IF(T26="Inmediata",0,IF(S26&lt;=0,0,IF(CASO!$E$8=0,P26*IF(T26="Constante",S26,(S26+1)/2),P26*IF(T26="Constante",((1-(1/(1+CASO!$E$8))^S26)/(1-(1/(1+CASO!$E$8)))),((1-(1/(1+CASO!$E$8))^S26)/(1-(1/(1+CASO!$E$8))))-(((1/(1+CASO!$E$8))-S26*(1/(1+CASO!$E$8))^S26+(S26-1)*(1/(1+CASO!$E$8))^(S26+1))/(1-(1/(1+CASO!$E$8)))^2)/S26)))))</x:f>
        <x:v>0</x:v>
      </x:c>
      <x:c r="AD26" s="32" t="n">
        <x:f>IF(OR(Z26="",Z26="Excluido"),0,H26*K26*AA26)</x:f>
        <x:v>0</x:v>
      </x:c>
      <x:c r="AE26" s="32" t="n">
        <x:f>IF(OR(Z26="",Z26="Excluido"),0,I26*L26*AB26)</x:f>
        <x:v>0</x:v>
      </x:c>
      <x:c r="AF26" s="32" t="n">
        <x:f>IF(OR(Z26="",Z26="Excluido"),0,J26*M26*AC26)</x:f>
        <x:v>0</x:v>
      </x:c>
    </x:row>
    <x:row r="27">
      <x:c r="A27" s="21"/>
      <x:c r="B27" s="21"/>
      <x:c r="C27" s="21"/>
      <x:c r="D27" s="21"/>
      <x:c r="E27" s="21"/>
      <x:c r="F27" s="21"/>
      <x:c r="G27" s="21"/>
      <x:c r="H27" s="31"/>
      <x:c r="I27" s="31"/>
      <x:c r="J27" s="31"/>
      <x:c r="K27" s="31"/>
      <x:c r="L27" s="31"/>
      <x:c r="M27" s="31"/>
      <x:c r="N27" s="24"/>
      <x:c r="O27" s="24"/>
      <x:c r="P27" s="24"/>
      <x:c r="Q27" s="21"/>
      <x:c r="R27" s="21"/>
      <x:c r="S27" s="21"/>
      <x:c r="T27" s="21"/>
      <x:c r="U27" s="21"/>
      <x:c r="V27" s="21"/>
      <x:c r="W27" s="21"/>
      <x:c r="X27" s="21"/>
      <x:c r="Y27" s="21"/>
      <x:c r="Z27" s="30" t="str">
        <x:f>IF(B27="","",IF(OR(U27&lt;&gt;"Sí",V27="X"),"Excluido",IF(OR(V27="D",V27="E",W27="Baja"),"Exploratorio","Principal")))</x:f>
      </x:c>
      <x:c r="AA27" s="33" t="n">
        <x:f>IF(OR(N27="",Q27=""),0,IF(T27="Inmediata",0,IF(Q27&lt;=0,0,IF(CASO!$E$6=0,N27*IF(T27="Constante",Q27,(Q27+1)/2),N27*IF(T27="Constante",((1-(1/(1+CASO!$E$6))^Q27)/(1-(1/(1+CASO!$E$6)))),((1-(1/(1+CASO!$E$6))^Q27)/(1-(1/(1+CASO!$E$6))))-(((1/(1+CASO!$E$6))-Q27*(1/(1+CASO!$E$6))^Q27+(Q27-1)*(1/(1+CASO!$E$6))^(Q27+1))/(1-(1/(1+CASO!$E$6)))^2)/Q27)))))</x:f>
        <x:v>0</x:v>
      </x:c>
      <x:c r="AB27" s="33" t="n">
        <x:f>IF(OR(O27="",R27=""),0,IF(T27="Inmediata",0,IF(R27&lt;=0,0,IF(CASO!$E$7=0,O27*IF(T27="Constante",R27,(R27+1)/2),O27*IF(T27="Constante",((1-(1/(1+CASO!$E$7))^R27)/(1-(1/(1+CASO!$E$7)))),((1-(1/(1+CASO!$E$7))^R27)/(1-(1/(1+CASO!$E$7))))-(((1/(1+CASO!$E$7))-R27*(1/(1+CASO!$E$7))^R27+(R27-1)*(1/(1+CASO!$E$7))^(R27+1))/(1-(1/(1+CASO!$E$7)))^2)/R27)))))</x:f>
        <x:v>0</x:v>
      </x:c>
      <x:c r="AC27" s="33" t="n">
        <x:f>IF(OR(P27="",S27=""),0,IF(T27="Inmediata",0,IF(S27&lt;=0,0,IF(CASO!$E$8=0,P27*IF(T27="Constante",S27,(S27+1)/2),P27*IF(T27="Constante",((1-(1/(1+CASO!$E$8))^S27)/(1-(1/(1+CASO!$E$8)))),((1-(1/(1+CASO!$E$8))^S27)/(1-(1/(1+CASO!$E$8))))-(((1/(1+CASO!$E$8))-S27*(1/(1+CASO!$E$8))^S27+(S27-1)*(1/(1+CASO!$E$8))^(S27+1))/(1-(1/(1+CASO!$E$8)))^2)/S27)))))</x:f>
        <x:v>0</x:v>
      </x:c>
      <x:c r="AD27" s="32" t="n">
        <x:f>IF(OR(Z27="",Z27="Excluido"),0,H27*K27*AA27)</x:f>
        <x:v>0</x:v>
      </x:c>
      <x:c r="AE27" s="32" t="n">
        <x:f>IF(OR(Z27="",Z27="Excluido"),0,I27*L27*AB27)</x:f>
        <x:v>0</x:v>
      </x:c>
      <x:c r="AF27" s="32" t="n">
        <x:f>IF(OR(Z27="",Z27="Excluido"),0,J27*M27*AC27)</x:f>
        <x:v>0</x:v>
      </x:c>
    </x:row>
    <x:row r="28">
      <x:c r="A28" s="21"/>
      <x:c r="B28" s="21"/>
      <x:c r="C28" s="21"/>
      <x:c r="D28" s="21"/>
      <x:c r="E28" s="21"/>
      <x:c r="F28" s="21"/>
      <x:c r="G28" s="21"/>
      <x:c r="H28" s="31"/>
      <x:c r="I28" s="31"/>
      <x:c r="J28" s="31"/>
      <x:c r="K28" s="31"/>
      <x:c r="L28" s="31"/>
      <x:c r="M28" s="31"/>
      <x:c r="N28" s="24"/>
      <x:c r="O28" s="24"/>
      <x:c r="P28" s="24"/>
      <x:c r="Q28" s="21"/>
      <x:c r="R28" s="21"/>
      <x:c r="S28" s="21"/>
      <x:c r="T28" s="21"/>
      <x:c r="U28" s="21"/>
      <x:c r="V28" s="21"/>
      <x:c r="W28" s="21"/>
      <x:c r="X28" s="21"/>
      <x:c r="Y28" s="21"/>
      <x:c r="Z28" s="30" t="str">
        <x:f>IF(B28="","",IF(OR(U28&lt;&gt;"Sí",V28="X"),"Excluido",IF(OR(V28="D",V28="E",W28="Baja"),"Exploratorio","Principal")))</x:f>
      </x:c>
      <x:c r="AA28" s="33" t="n">
        <x:f>IF(OR(N28="",Q28=""),0,IF(T28="Inmediata",0,IF(Q28&lt;=0,0,IF(CASO!$E$6=0,N28*IF(T28="Constante",Q28,(Q28+1)/2),N28*IF(T28="Constante",((1-(1/(1+CASO!$E$6))^Q28)/(1-(1/(1+CASO!$E$6)))),((1-(1/(1+CASO!$E$6))^Q28)/(1-(1/(1+CASO!$E$6))))-(((1/(1+CASO!$E$6))-Q28*(1/(1+CASO!$E$6))^Q28+(Q28-1)*(1/(1+CASO!$E$6))^(Q28+1))/(1-(1/(1+CASO!$E$6)))^2)/Q28)))))</x:f>
        <x:v>0</x:v>
      </x:c>
      <x:c r="AB28" s="33" t="n">
        <x:f>IF(OR(O28="",R28=""),0,IF(T28="Inmediata",0,IF(R28&lt;=0,0,IF(CASO!$E$7=0,O28*IF(T28="Constante",R28,(R28+1)/2),O28*IF(T28="Constante",((1-(1/(1+CASO!$E$7))^R28)/(1-(1/(1+CASO!$E$7)))),((1-(1/(1+CASO!$E$7))^R28)/(1-(1/(1+CASO!$E$7))))-(((1/(1+CASO!$E$7))-R28*(1/(1+CASO!$E$7))^R28+(R28-1)*(1/(1+CASO!$E$7))^(R28+1))/(1-(1/(1+CASO!$E$7)))^2)/R28)))))</x:f>
        <x:v>0</x:v>
      </x:c>
      <x:c r="AC28" s="33" t="n">
        <x:f>IF(OR(P28="",S28=""),0,IF(T28="Inmediata",0,IF(S28&lt;=0,0,IF(CASO!$E$8=0,P28*IF(T28="Constante",S28,(S28+1)/2),P28*IF(T28="Constante",((1-(1/(1+CASO!$E$8))^S28)/(1-(1/(1+CASO!$E$8)))),((1-(1/(1+CASO!$E$8))^S28)/(1-(1/(1+CASO!$E$8))))-(((1/(1+CASO!$E$8))-S28*(1/(1+CASO!$E$8))^S28+(S28-1)*(1/(1+CASO!$E$8))^(S28+1))/(1-(1/(1+CASO!$E$8)))^2)/S28)))))</x:f>
        <x:v>0</x:v>
      </x:c>
      <x:c r="AD28" s="32" t="n">
        <x:f>IF(OR(Z28="",Z28="Excluido"),0,H28*K28*AA28)</x:f>
        <x:v>0</x:v>
      </x:c>
      <x:c r="AE28" s="32" t="n">
        <x:f>IF(OR(Z28="",Z28="Excluido"),0,I28*L28*AB28)</x:f>
        <x:v>0</x:v>
      </x:c>
      <x:c r="AF28" s="32" t="n">
        <x:f>IF(OR(Z28="",Z28="Excluido"),0,J28*M28*AC28)</x:f>
        <x:v>0</x:v>
      </x:c>
    </x:row>
    <x:row r="29">
      <x:c r="A29" s="21"/>
      <x:c r="B29" s="21"/>
      <x:c r="C29" s="21"/>
      <x:c r="D29" s="21"/>
      <x:c r="E29" s="21"/>
      <x:c r="F29" s="21"/>
      <x:c r="G29" s="21"/>
      <x:c r="H29" s="31"/>
      <x:c r="I29" s="31"/>
      <x:c r="J29" s="31"/>
      <x:c r="K29" s="31"/>
      <x:c r="L29" s="31"/>
      <x:c r="M29" s="31"/>
      <x:c r="N29" s="24"/>
      <x:c r="O29" s="24"/>
      <x:c r="P29" s="24"/>
      <x:c r="Q29" s="21"/>
      <x:c r="R29" s="21"/>
      <x:c r="S29" s="21"/>
      <x:c r="T29" s="21"/>
      <x:c r="U29" s="21"/>
      <x:c r="V29" s="21"/>
      <x:c r="W29" s="21"/>
      <x:c r="X29" s="21"/>
      <x:c r="Y29" s="21"/>
      <x:c r="Z29" s="30" t="str">
        <x:f>IF(B29="","",IF(OR(U29&lt;&gt;"Sí",V29="X"),"Excluido",IF(OR(V29="D",V29="E",W29="Baja"),"Exploratorio","Principal")))</x:f>
      </x:c>
      <x:c r="AA29" s="33" t="n">
        <x:f>IF(OR(N29="",Q29=""),0,IF(T29="Inmediata",0,IF(Q29&lt;=0,0,IF(CASO!$E$6=0,N29*IF(T29="Constante",Q29,(Q29+1)/2),N29*IF(T29="Constante",((1-(1/(1+CASO!$E$6))^Q29)/(1-(1/(1+CASO!$E$6)))),((1-(1/(1+CASO!$E$6))^Q29)/(1-(1/(1+CASO!$E$6))))-(((1/(1+CASO!$E$6))-Q29*(1/(1+CASO!$E$6))^Q29+(Q29-1)*(1/(1+CASO!$E$6))^(Q29+1))/(1-(1/(1+CASO!$E$6)))^2)/Q29)))))</x:f>
        <x:v>0</x:v>
      </x:c>
      <x:c r="AB29" s="33" t="n">
        <x:f>IF(OR(O29="",R29=""),0,IF(T29="Inmediata",0,IF(R29&lt;=0,0,IF(CASO!$E$7=0,O29*IF(T29="Constante",R29,(R29+1)/2),O29*IF(T29="Constante",((1-(1/(1+CASO!$E$7))^R29)/(1-(1/(1+CASO!$E$7)))),((1-(1/(1+CASO!$E$7))^R29)/(1-(1/(1+CASO!$E$7))))-(((1/(1+CASO!$E$7))-R29*(1/(1+CASO!$E$7))^R29+(R29-1)*(1/(1+CASO!$E$7))^(R29+1))/(1-(1/(1+CASO!$E$7)))^2)/R29)))))</x:f>
        <x:v>0</x:v>
      </x:c>
      <x:c r="AC29" s="33" t="n">
        <x:f>IF(OR(P29="",S29=""),0,IF(T29="Inmediata",0,IF(S29&lt;=0,0,IF(CASO!$E$8=0,P29*IF(T29="Constante",S29,(S29+1)/2),P29*IF(T29="Constante",((1-(1/(1+CASO!$E$8))^S29)/(1-(1/(1+CASO!$E$8)))),((1-(1/(1+CASO!$E$8))^S29)/(1-(1/(1+CASO!$E$8))))-(((1/(1+CASO!$E$8))-S29*(1/(1+CASO!$E$8))^S29+(S29-1)*(1/(1+CASO!$E$8))^(S29+1))/(1-(1/(1+CASO!$E$8)))^2)/S29)))))</x:f>
        <x:v>0</x:v>
      </x:c>
      <x:c r="AD29" s="32" t="n">
        <x:f>IF(OR(Z29="",Z29="Excluido"),0,H29*K29*AA29)</x:f>
        <x:v>0</x:v>
      </x:c>
      <x:c r="AE29" s="32" t="n">
        <x:f>IF(OR(Z29="",Z29="Excluido"),0,I29*L29*AB29)</x:f>
        <x:v>0</x:v>
      </x:c>
      <x:c r="AF29" s="32" t="n">
        <x:f>IF(OR(Z29="",Z29="Excluido"),0,J29*M29*AC29)</x:f>
        <x:v>0</x:v>
      </x:c>
    </x:row>
    <x:row r="30">
      <x:c r="A30" s="21"/>
      <x:c r="B30" s="21"/>
      <x:c r="C30" s="21"/>
      <x:c r="D30" s="21"/>
      <x:c r="E30" s="21"/>
      <x:c r="F30" s="21"/>
      <x:c r="G30" s="21"/>
      <x:c r="H30" s="31"/>
      <x:c r="I30" s="31"/>
      <x:c r="J30" s="31"/>
      <x:c r="K30" s="31"/>
      <x:c r="L30" s="31"/>
      <x:c r="M30" s="31"/>
      <x:c r="N30" s="24"/>
      <x:c r="O30" s="24"/>
      <x:c r="P30" s="24"/>
      <x:c r="Q30" s="21"/>
      <x:c r="R30" s="21"/>
      <x:c r="S30" s="21"/>
      <x:c r="T30" s="21"/>
      <x:c r="U30" s="21"/>
      <x:c r="V30" s="21"/>
      <x:c r="W30" s="21"/>
      <x:c r="X30" s="21"/>
      <x:c r="Y30" s="21"/>
      <x:c r="Z30" s="30" t="str">
        <x:f>IF(B30="","",IF(OR(U30&lt;&gt;"Sí",V30="X"),"Excluido",IF(OR(V30="D",V30="E",W30="Baja"),"Exploratorio","Principal")))</x:f>
      </x:c>
      <x:c r="AA30" s="33" t="n">
        <x:f>IF(OR(N30="",Q30=""),0,IF(T30="Inmediata",0,IF(Q30&lt;=0,0,IF(CASO!$E$6=0,N30*IF(T30="Constante",Q30,(Q30+1)/2),N30*IF(T30="Constante",((1-(1/(1+CASO!$E$6))^Q30)/(1-(1/(1+CASO!$E$6)))),((1-(1/(1+CASO!$E$6))^Q30)/(1-(1/(1+CASO!$E$6))))-(((1/(1+CASO!$E$6))-Q30*(1/(1+CASO!$E$6))^Q30+(Q30-1)*(1/(1+CASO!$E$6))^(Q30+1))/(1-(1/(1+CASO!$E$6)))^2)/Q30)))))</x:f>
        <x:v>0</x:v>
      </x:c>
      <x:c r="AB30" s="33" t="n">
        <x:f>IF(OR(O30="",R30=""),0,IF(T30="Inmediata",0,IF(R30&lt;=0,0,IF(CASO!$E$7=0,O30*IF(T30="Constante",R30,(R30+1)/2),O30*IF(T30="Constante",((1-(1/(1+CASO!$E$7))^R30)/(1-(1/(1+CASO!$E$7)))),((1-(1/(1+CASO!$E$7))^R30)/(1-(1/(1+CASO!$E$7))))-(((1/(1+CASO!$E$7))-R30*(1/(1+CASO!$E$7))^R30+(R30-1)*(1/(1+CASO!$E$7))^(R30+1))/(1-(1/(1+CASO!$E$7)))^2)/R30)))))</x:f>
        <x:v>0</x:v>
      </x:c>
      <x:c r="AC30" s="33" t="n">
        <x:f>IF(OR(P30="",S30=""),0,IF(T30="Inmediata",0,IF(S30&lt;=0,0,IF(CASO!$E$8=0,P30*IF(T30="Constante",S30,(S30+1)/2),P30*IF(T30="Constante",((1-(1/(1+CASO!$E$8))^S30)/(1-(1/(1+CASO!$E$8)))),((1-(1/(1+CASO!$E$8))^S30)/(1-(1/(1+CASO!$E$8))))-(((1/(1+CASO!$E$8))-S30*(1/(1+CASO!$E$8))^S30+(S30-1)*(1/(1+CASO!$E$8))^(S30+1))/(1-(1/(1+CASO!$E$8)))^2)/S30)))))</x:f>
        <x:v>0</x:v>
      </x:c>
      <x:c r="AD30" s="32" t="n">
        <x:f>IF(OR(Z30="",Z30="Excluido"),0,H30*K30*AA30)</x:f>
        <x:v>0</x:v>
      </x:c>
      <x:c r="AE30" s="32" t="n">
        <x:f>IF(OR(Z30="",Z30="Excluido"),0,I30*L30*AB30)</x:f>
        <x:v>0</x:v>
      </x:c>
      <x:c r="AF30" s="32" t="n">
        <x:f>IF(OR(Z30="",Z30="Excluido"),0,J30*M30*AC30)</x:f>
        <x:v>0</x:v>
      </x:c>
    </x:row>
    <x:row r="31">
      <x:c r="A31" s="21"/>
      <x:c r="B31" s="21"/>
      <x:c r="C31" s="21"/>
      <x:c r="D31" s="21"/>
      <x:c r="E31" s="21"/>
      <x:c r="F31" s="21"/>
      <x:c r="G31" s="21"/>
      <x:c r="H31" s="31"/>
      <x:c r="I31" s="31"/>
      <x:c r="J31" s="31"/>
      <x:c r="K31" s="31"/>
      <x:c r="L31" s="31"/>
      <x:c r="M31" s="31"/>
      <x:c r="N31" s="24"/>
      <x:c r="O31" s="24"/>
      <x:c r="P31" s="24"/>
      <x:c r="Q31" s="21"/>
      <x:c r="R31" s="21"/>
      <x:c r="S31" s="21"/>
      <x:c r="T31" s="21"/>
      <x:c r="U31" s="21"/>
      <x:c r="V31" s="21"/>
      <x:c r="W31" s="21"/>
      <x:c r="X31" s="21"/>
      <x:c r="Y31" s="21"/>
      <x:c r="Z31" s="30" t="str">
        <x:f>IF(B31="","",IF(OR(U31&lt;&gt;"Sí",V31="X"),"Excluido",IF(OR(V31="D",V31="E",W31="Baja"),"Exploratorio","Principal")))</x:f>
      </x:c>
      <x:c r="AA31" s="33" t="n">
        <x:f>IF(OR(N31="",Q31=""),0,IF(T31="Inmediata",0,IF(Q31&lt;=0,0,IF(CASO!$E$6=0,N31*IF(T31="Constante",Q31,(Q31+1)/2),N31*IF(T31="Constante",((1-(1/(1+CASO!$E$6))^Q31)/(1-(1/(1+CASO!$E$6)))),((1-(1/(1+CASO!$E$6))^Q31)/(1-(1/(1+CASO!$E$6))))-(((1/(1+CASO!$E$6))-Q31*(1/(1+CASO!$E$6))^Q31+(Q31-1)*(1/(1+CASO!$E$6))^(Q31+1))/(1-(1/(1+CASO!$E$6)))^2)/Q31)))))</x:f>
        <x:v>0</x:v>
      </x:c>
      <x:c r="AB31" s="33" t="n">
        <x:f>IF(OR(O31="",R31=""),0,IF(T31="Inmediata",0,IF(R31&lt;=0,0,IF(CASO!$E$7=0,O31*IF(T31="Constante",R31,(R31+1)/2),O31*IF(T31="Constante",((1-(1/(1+CASO!$E$7))^R31)/(1-(1/(1+CASO!$E$7)))),((1-(1/(1+CASO!$E$7))^R31)/(1-(1/(1+CASO!$E$7))))-(((1/(1+CASO!$E$7))-R31*(1/(1+CASO!$E$7))^R31+(R31-1)*(1/(1+CASO!$E$7))^(R31+1))/(1-(1/(1+CASO!$E$7)))^2)/R31)))))</x:f>
        <x:v>0</x:v>
      </x:c>
      <x:c r="AC31" s="33" t="n">
        <x:f>IF(OR(P31="",S31=""),0,IF(T31="Inmediata",0,IF(S31&lt;=0,0,IF(CASO!$E$8=0,P31*IF(T31="Constante",S31,(S31+1)/2),P31*IF(T31="Constante",((1-(1/(1+CASO!$E$8))^S31)/(1-(1/(1+CASO!$E$8)))),((1-(1/(1+CASO!$E$8))^S31)/(1-(1/(1+CASO!$E$8))))-(((1/(1+CASO!$E$8))-S31*(1/(1+CASO!$E$8))^S31+(S31-1)*(1/(1+CASO!$E$8))^(S31+1))/(1-(1/(1+CASO!$E$8)))^2)/S31)))))</x:f>
        <x:v>0</x:v>
      </x:c>
      <x:c r="AD31" s="32" t="n">
        <x:f>IF(OR(Z31="",Z31="Excluido"),0,H31*K31*AA31)</x:f>
        <x:v>0</x:v>
      </x:c>
      <x:c r="AE31" s="32" t="n">
        <x:f>IF(OR(Z31="",Z31="Excluido"),0,I31*L31*AB31)</x:f>
        <x:v>0</x:v>
      </x:c>
      <x:c r="AF31" s="32" t="n">
        <x:f>IF(OR(Z31="",Z31="Excluido"),0,J31*M31*AC31)</x:f>
        <x:v>0</x:v>
      </x:c>
    </x:row>
    <x:row r="32">
      <x:c r="A32" s="21"/>
      <x:c r="B32" s="21"/>
      <x:c r="C32" s="21"/>
      <x:c r="D32" s="21"/>
      <x:c r="E32" s="21"/>
      <x:c r="F32" s="21"/>
      <x:c r="G32" s="21"/>
      <x:c r="H32" s="31"/>
      <x:c r="I32" s="31"/>
      <x:c r="J32" s="31"/>
      <x:c r="K32" s="31"/>
      <x:c r="L32" s="31"/>
      <x:c r="M32" s="31"/>
      <x:c r="N32" s="24"/>
      <x:c r="O32" s="24"/>
      <x:c r="P32" s="24"/>
      <x:c r="Q32" s="21"/>
      <x:c r="R32" s="21"/>
      <x:c r="S32" s="21"/>
      <x:c r="T32" s="21"/>
      <x:c r="U32" s="21"/>
      <x:c r="V32" s="21"/>
      <x:c r="W32" s="21"/>
      <x:c r="X32" s="21"/>
      <x:c r="Y32" s="21"/>
      <x:c r="Z32" s="30" t="str">
        <x:f>IF(B32="","",IF(OR(U32&lt;&gt;"Sí",V32="X"),"Excluido",IF(OR(V32="D",V32="E",W32="Baja"),"Exploratorio","Principal")))</x:f>
      </x:c>
      <x:c r="AA32" s="33" t="n">
        <x:f>IF(OR(N32="",Q32=""),0,IF(T32="Inmediata",0,IF(Q32&lt;=0,0,IF(CASO!$E$6=0,N32*IF(T32="Constante",Q32,(Q32+1)/2),N32*IF(T32="Constante",((1-(1/(1+CASO!$E$6))^Q32)/(1-(1/(1+CASO!$E$6)))),((1-(1/(1+CASO!$E$6))^Q32)/(1-(1/(1+CASO!$E$6))))-(((1/(1+CASO!$E$6))-Q32*(1/(1+CASO!$E$6))^Q32+(Q32-1)*(1/(1+CASO!$E$6))^(Q32+1))/(1-(1/(1+CASO!$E$6)))^2)/Q32)))))</x:f>
        <x:v>0</x:v>
      </x:c>
      <x:c r="AB32" s="33" t="n">
        <x:f>IF(OR(O32="",R32=""),0,IF(T32="Inmediata",0,IF(R32&lt;=0,0,IF(CASO!$E$7=0,O32*IF(T32="Constante",R32,(R32+1)/2),O32*IF(T32="Constante",((1-(1/(1+CASO!$E$7))^R32)/(1-(1/(1+CASO!$E$7)))),((1-(1/(1+CASO!$E$7))^R32)/(1-(1/(1+CASO!$E$7))))-(((1/(1+CASO!$E$7))-R32*(1/(1+CASO!$E$7))^R32+(R32-1)*(1/(1+CASO!$E$7))^(R32+1))/(1-(1/(1+CASO!$E$7)))^2)/R32)))))</x:f>
        <x:v>0</x:v>
      </x:c>
      <x:c r="AC32" s="33" t="n">
        <x:f>IF(OR(P32="",S32=""),0,IF(T32="Inmediata",0,IF(S32&lt;=0,0,IF(CASO!$E$8=0,P32*IF(T32="Constante",S32,(S32+1)/2),P32*IF(T32="Constante",((1-(1/(1+CASO!$E$8))^S32)/(1-(1/(1+CASO!$E$8)))),((1-(1/(1+CASO!$E$8))^S32)/(1-(1/(1+CASO!$E$8))))-(((1/(1+CASO!$E$8))-S32*(1/(1+CASO!$E$8))^S32+(S32-1)*(1/(1+CASO!$E$8))^(S32+1))/(1-(1/(1+CASO!$E$8)))^2)/S32)))))</x:f>
        <x:v>0</x:v>
      </x:c>
      <x:c r="AD32" s="32" t="n">
        <x:f>IF(OR(Z32="",Z32="Excluido"),0,H32*K32*AA32)</x:f>
        <x:v>0</x:v>
      </x:c>
      <x:c r="AE32" s="32" t="n">
        <x:f>IF(OR(Z32="",Z32="Excluido"),0,I32*L32*AB32)</x:f>
        <x:v>0</x:v>
      </x:c>
      <x:c r="AF32" s="32" t="n">
        <x:f>IF(OR(Z32="",Z32="Excluido"),0,J32*M32*AC32)</x:f>
        <x:v>0</x:v>
      </x:c>
    </x:row>
    <x:row r="33">
      <x:c r="A33" s="21"/>
      <x:c r="B33" s="21"/>
      <x:c r="C33" s="21"/>
      <x:c r="D33" s="21"/>
      <x:c r="E33" s="21"/>
      <x:c r="F33" s="21"/>
      <x:c r="G33" s="21"/>
      <x:c r="H33" s="31"/>
      <x:c r="I33" s="31"/>
      <x:c r="J33" s="31"/>
      <x:c r="K33" s="31"/>
      <x:c r="L33" s="31"/>
      <x:c r="M33" s="31"/>
      <x:c r="N33" s="24"/>
      <x:c r="O33" s="24"/>
      <x:c r="P33" s="24"/>
      <x:c r="Q33" s="21"/>
      <x:c r="R33" s="21"/>
      <x:c r="S33" s="21"/>
      <x:c r="T33" s="21"/>
      <x:c r="U33" s="21"/>
      <x:c r="V33" s="21"/>
      <x:c r="W33" s="21"/>
      <x:c r="X33" s="21"/>
      <x:c r="Y33" s="21"/>
      <x:c r="Z33" s="30" t="str">
        <x:f>IF(B33="","",IF(OR(U33&lt;&gt;"Sí",V33="X"),"Excluido",IF(OR(V33="D",V33="E",W33="Baja"),"Exploratorio","Principal")))</x:f>
      </x:c>
      <x:c r="AA33" s="33" t="n">
        <x:f>IF(OR(N33="",Q33=""),0,IF(T33="Inmediata",0,IF(Q33&lt;=0,0,IF(CASO!$E$6=0,N33*IF(T33="Constante",Q33,(Q33+1)/2),N33*IF(T33="Constante",((1-(1/(1+CASO!$E$6))^Q33)/(1-(1/(1+CASO!$E$6)))),((1-(1/(1+CASO!$E$6))^Q33)/(1-(1/(1+CASO!$E$6))))-(((1/(1+CASO!$E$6))-Q33*(1/(1+CASO!$E$6))^Q33+(Q33-1)*(1/(1+CASO!$E$6))^(Q33+1))/(1-(1/(1+CASO!$E$6)))^2)/Q33)))))</x:f>
        <x:v>0</x:v>
      </x:c>
      <x:c r="AB33" s="33" t="n">
        <x:f>IF(OR(O33="",R33=""),0,IF(T33="Inmediata",0,IF(R33&lt;=0,0,IF(CASO!$E$7=0,O33*IF(T33="Constante",R33,(R33+1)/2),O33*IF(T33="Constante",((1-(1/(1+CASO!$E$7))^R33)/(1-(1/(1+CASO!$E$7)))),((1-(1/(1+CASO!$E$7))^R33)/(1-(1/(1+CASO!$E$7))))-(((1/(1+CASO!$E$7))-R33*(1/(1+CASO!$E$7))^R33+(R33-1)*(1/(1+CASO!$E$7))^(R33+1))/(1-(1/(1+CASO!$E$7)))^2)/R33)))))</x:f>
        <x:v>0</x:v>
      </x:c>
      <x:c r="AC33" s="33" t="n">
        <x:f>IF(OR(P33="",S33=""),0,IF(T33="Inmediata",0,IF(S33&lt;=0,0,IF(CASO!$E$8=0,P33*IF(T33="Constante",S33,(S33+1)/2),P33*IF(T33="Constante",((1-(1/(1+CASO!$E$8))^S33)/(1-(1/(1+CASO!$E$8)))),((1-(1/(1+CASO!$E$8))^S33)/(1-(1/(1+CASO!$E$8))))-(((1/(1+CASO!$E$8))-S33*(1/(1+CASO!$E$8))^S33+(S33-1)*(1/(1+CASO!$E$8))^(S33+1))/(1-(1/(1+CASO!$E$8)))^2)/S33)))))</x:f>
        <x:v>0</x:v>
      </x:c>
      <x:c r="AD33" s="32" t="n">
        <x:f>IF(OR(Z33="",Z33="Excluido"),0,H33*K33*AA33)</x:f>
        <x:v>0</x:v>
      </x:c>
      <x:c r="AE33" s="32" t="n">
        <x:f>IF(OR(Z33="",Z33="Excluido"),0,I33*L33*AB33)</x:f>
        <x:v>0</x:v>
      </x:c>
      <x:c r="AF33" s="32" t="n">
        <x:f>IF(OR(Z33="",Z33="Excluido"),0,J33*M33*AC33)</x:f>
        <x:v>0</x:v>
      </x:c>
    </x:row>
    <x:row r="34">
      <x:c r="A34" s="21"/>
      <x:c r="B34" s="21"/>
      <x:c r="C34" s="21"/>
      <x:c r="D34" s="21"/>
      <x:c r="E34" s="21"/>
      <x:c r="F34" s="21"/>
      <x:c r="G34" s="21"/>
      <x:c r="H34" s="31"/>
      <x:c r="I34" s="31"/>
      <x:c r="J34" s="31"/>
      <x:c r="K34" s="31"/>
      <x:c r="L34" s="31"/>
      <x:c r="M34" s="31"/>
      <x:c r="N34" s="24"/>
      <x:c r="O34" s="24"/>
      <x:c r="P34" s="24"/>
      <x:c r="Q34" s="21"/>
      <x:c r="R34" s="21"/>
      <x:c r="S34" s="21"/>
      <x:c r="T34" s="21"/>
      <x:c r="U34" s="21"/>
      <x:c r="V34" s="21"/>
      <x:c r="W34" s="21"/>
      <x:c r="X34" s="21"/>
      <x:c r="Y34" s="21"/>
      <x:c r="Z34" s="30" t="str">
        <x:f>IF(B34="","",IF(OR(U34&lt;&gt;"Sí",V34="X"),"Excluido",IF(OR(V34="D",V34="E",W34="Baja"),"Exploratorio","Principal")))</x:f>
      </x:c>
      <x:c r="AA34" s="33" t="n">
        <x:f>IF(OR(N34="",Q34=""),0,IF(T34="Inmediata",0,IF(Q34&lt;=0,0,IF(CASO!$E$6=0,N34*IF(T34="Constante",Q34,(Q34+1)/2),N34*IF(T34="Constante",((1-(1/(1+CASO!$E$6))^Q34)/(1-(1/(1+CASO!$E$6)))),((1-(1/(1+CASO!$E$6))^Q34)/(1-(1/(1+CASO!$E$6))))-(((1/(1+CASO!$E$6))-Q34*(1/(1+CASO!$E$6))^Q34+(Q34-1)*(1/(1+CASO!$E$6))^(Q34+1))/(1-(1/(1+CASO!$E$6)))^2)/Q34)))))</x:f>
        <x:v>0</x:v>
      </x:c>
      <x:c r="AB34" s="33" t="n">
        <x:f>IF(OR(O34="",R34=""),0,IF(T34="Inmediata",0,IF(R34&lt;=0,0,IF(CASO!$E$7=0,O34*IF(T34="Constante",R34,(R34+1)/2),O34*IF(T34="Constante",((1-(1/(1+CASO!$E$7))^R34)/(1-(1/(1+CASO!$E$7)))),((1-(1/(1+CASO!$E$7))^R34)/(1-(1/(1+CASO!$E$7))))-(((1/(1+CASO!$E$7))-R34*(1/(1+CASO!$E$7))^R34+(R34-1)*(1/(1+CASO!$E$7))^(R34+1))/(1-(1/(1+CASO!$E$7)))^2)/R34)))))</x:f>
        <x:v>0</x:v>
      </x:c>
      <x:c r="AC34" s="33" t="n">
        <x:f>IF(OR(P34="",S34=""),0,IF(T34="Inmediata",0,IF(S34&lt;=0,0,IF(CASO!$E$8=0,P34*IF(T34="Constante",S34,(S34+1)/2),P34*IF(T34="Constante",((1-(1/(1+CASO!$E$8))^S34)/(1-(1/(1+CASO!$E$8)))),((1-(1/(1+CASO!$E$8))^S34)/(1-(1/(1+CASO!$E$8))))-(((1/(1+CASO!$E$8))-S34*(1/(1+CASO!$E$8))^S34+(S34-1)*(1/(1+CASO!$E$8))^(S34+1))/(1-(1/(1+CASO!$E$8)))^2)/S34)))))</x:f>
        <x:v>0</x:v>
      </x:c>
      <x:c r="AD34" s="32" t="n">
        <x:f>IF(OR(Z34="",Z34="Excluido"),0,H34*K34*AA34)</x:f>
        <x:v>0</x:v>
      </x:c>
      <x:c r="AE34" s="32" t="n">
        <x:f>IF(OR(Z34="",Z34="Excluido"),0,I34*L34*AB34)</x:f>
        <x:v>0</x:v>
      </x:c>
      <x:c r="AF34" s="32" t="n">
        <x:f>IF(OR(Z34="",Z34="Excluido"),0,J34*M34*AC34)</x:f>
        <x:v>0</x:v>
      </x:c>
    </x:row>
    <x:row r="35">
      <x:c r="A35" s="21"/>
      <x:c r="B35" s="21"/>
      <x:c r="C35" s="21"/>
      <x:c r="D35" s="21"/>
      <x:c r="E35" s="21"/>
      <x:c r="F35" s="21"/>
      <x:c r="G35" s="21"/>
      <x:c r="H35" s="31"/>
      <x:c r="I35" s="31"/>
      <x:c r="J35" s="31"/>
      <x:c r="K35" s="31"/>
      <x:c r="L35" s="31"/>
      <x:c r="M35" s="31"/>
      <x:c r="N35" s="24"/>
      <x:c r="O35" s="24"/>
      <x:c r="P35" s="24"/>
      <x:c r="Q35" s="21"/>
      <x:c r="R35" s="21"/>
      <x:c r="S35" s="21"/>
      <x:c r="T35" s="21"/>
      <x:c r="U35" s="21"/>
      <x:c r="V35" s="21"/>
      <x:c r="W35" s="21"/>
      <x:c r="X35" s="21"/>
      <x:c r="Y35" s="21"/>
      <x:c r="Z35" s="30" t="str">
        <x:f>IF(B35="","",IF(OR(U35&lt;&gt;"Sí",V35="X"),"Excluido",IF(OR(V35="D",V35="E",W35="Baja"),"Exploratorio","Principal")))</x:f>
      </x:c>
      <x:c r="AA35" s="33" t="n">
        <x:f>IF(OR(N35="",Q35=""),0,IF(T35="Inmediata",0,IF(Q35&lt;=0,0,IF(CASO!$E$6=0,N35*IF(T35="Constante",Q35,(Q35+1)/2),N35*IF(T35="Constante",((1-(1/(1+CASO!$E$6))^Q35)/(1-(1/(1+CASO!$E$6)))),((1-(1/(1+CASO!$E$6))^Q35)/(1-(1/(1+CASO!$E$6))))-(((1/(1+CASO!$E$6))-Q35*(1/(1+CASO!$E$6))^Q35+(Q35-1)*(1/(1+CASO!$E$6))^(Q35+1))/(1-(1/(1+CASO!$E$6)))^2)/Q35)))))</x:f>
        <x:v>0</x:v>
      </x:c>
      <x:c r="AB35" s="33" t="n">
        <x:f>IF(OR(O35="",R35=""),0,IF(T35="Inmediata",0,IF(R35&lt;=0,0,IF(CASO!$E$7=0,O35*IF(T35="Constante",R35,(R35+1)/2),O35*IF(T35="Constante",((1-(1/(1+CASO!$E$7))^R35)/(1-(1/(1+CASO!$E$7)))),((1-(1/(1+CASO!$E$7))^R35)/(1-(1/(1+CASO!$E$7))))-(((1/(1+CASO!$E$7))-R35*(1/(1+CASO!$E$7))^R35+(R35-1)*(1/(1+CASO!$E$7))^(R35+1))/(1-(1/(1+CASO!$E$7)))^2)/R35)))))</x:f>
        <x:v>0</x:v>
      </x:c>
      <x:c r="AC35" s="33" t="n">
        <x:f>IF(OR(P35="",S35=""),0,IF(T35="Inmediata",0,IF(S35&lt;=0,0,IF(CASO!$E$8=0,P35*IF(T35="Constante",S35,(S35+1)/2),P35*IF(T35="Constante",((1-(1/(1+CASO!$E$8))^S35)/(1-(1/(1+CASO!$E$8)))),((1-(1/(1+CASO!$E$8))^S35)/(1-(1/(1+CASO!$E$8))))-(((1/(1+CASO!$E$8))-S35*(1/(1+CASO!$E$8))^S35+(S35-1)*(1/(1+CASO!$E$8))^(S35+1))/(1-(1/(1+CASO!$E$8)))^2)/S35)))))</x:f>
        <x:v>0</x:v>
      </x:c>
      <x:c r="AD35" s="32" t="n">
        <x:f>IF(OR(Z35="",Z35="Excluido"),0,H35*K35*AA35)</x:f>
        <x:v>0</x:v>
      </x:c>
      <x:c r="AE35" s="32" t="n">
        <x:f>IF(OR(Z35="",Z35="Excluido"),0,I35*L35*AB35)</x:f>
        <x:v>0</x:v>
      </x:c>
      <x:c r="AF35" s="32" t="n">
        <x:f>IF(OR(Z35="",Z35="Excluido"),0,J35*M35*AC35)</x:f>
        <x:v>0</x:v>
      </x:c>
    </x:row>
    <x:row r="36">
      <x:c r="A36" s="21"/>
      <x:c r="B36" s="21"/>
      <x:c r="C36" s="21"/>
      <x:c r="D36" s="21"/>
      <x:c r="E36" s="21"/>
      <x:c r="F36" s="21"/>
      <x:c r="G36" s="21"/>
      <x:c r="H36" s="31"/>
      <x:c r="I36" s="31"/>
      <x:c r="J36" s="31"/>
      <x:c r="K36" s="31"/>
      <x:c r="L36" s="31"/>
      <x:c r="M36" s="31"/>
      <x:c r="N36" s="24"/>
      <x:c r="O36" s="24"/>
      <x:c r="P36" s="24"/>
      <x:c r="Q36" s="21"/>
      <x:c r="R36" s="21"/>
      <x:c r="S36" s="21"/>
      <x:c r="T36" s="21"/>
      <x:c r="U36" s="21"/>
      <x:c r="V36" s="21"/>
      <x:c r="W36" s="21"/>
      <x:c r="X36" s="21"/>
      <x:c r="Y36" s="21"/>
      <x:c r="Z36" s="30" t="str">
        <x:f>IF(B36="","",IF(OR(U36&lt;&gt;"Sí",V36="X"),"Excluido",IF(OR(V36="D",V36="E",W36="Baja"),"Exploratorio","Principal")))</x:f>
      </x:c>
      <x:c r="AA36" s="33" t="n">
        <x:f>IF(OR(N36="",Q36=""),0,IF(T36="Inmediata",0,IF(Q36&lt;=0,0,IF(CASO!$E$6=0,N36*IF(T36="Constante",Q36,(Q36+1)/2),N36*IF(T36="Constante",((1-(1/(1+CASO!$E$6))^Q36)/(1-(1/(1+CASO!$E$6)))),((1-(1/(1+CASO!$E$6))^Q36)/(1-(1/(1+CASO!$E$6))))-(((1/(1+CASO!$E$6))-Q36*(1/(1+CASO!$E$6))^Q36+(Q36-1)*(1/(1+CASO!$E$6))^(Q36+1))/(1-(1/(1+CASO!$E$6)))^2)/Q36)))))</x:f>
        <x:v>0</x:v>
      </x:c>
      <x:c r="AB36" s="33" t="n">
        <x:f>IF(OR(O36="",R36=""),0,IF(T36="Inmediata",0,IF(R36&lt;=0,0,IF(CASO!$E$7=0,O36*IF(T36="Constante",R36,(R36+1)/2),O36*IF(T36="Constante",((1-(1/(1+CASO!$E$7))^R36)/(1-(1/(1+CASO!$E$7)))),((1-(1/(1+CASO!$E$7))^R36)/(1-(1/(1+CASO!$E$7))))-(((1/(1+CASO!$E$7))-R36*(1/(1+CASO!$E$7))^R36+(R36-1)*(1/(1+CASO!$E$7))^(R36+1))/(1-(1/(1+CASO!$E$7)))^2)/R36)))))</x:f>
        <x:v>0</x:v>
      </x:c>
      <x:c r="AC36" s="33" t="n">
        <x:f>IF(OR(P36="",S36=""),0,IF(T36="Inmediata",0,IF(S36&lt;=0,0,IF(CASO!$E$8=0,P36*IF(T36="Constante",S36,(S36+1)/2),P36*IF(T36="Constante",((1-(1/(1+CASO!$E$8))^S36)/(1-(1/(1+CASO!$E$8)))),((1-(1/(1+CASO!$E$8))^S36)/(1-(1/(1+CASO!$E$8))))-(((1/(1+CASO!$E$8))-S36*(1/(1+CASO!$E$8))^S36+(S36-1)*(1/(1+CASO!$E$8))^(S36+1))/(1-(1/(1+CASO!$E$8)))^2)/S36)))))</x:f>
        <x:v>0</x:v>
      </x:c>
      <x:c r="AD36" s="32" t="n">
        <x:f>IF(OR(Z36="",Z36="Excluido"),0,H36*K36*AA36)</x:f>
        <x:v>0</x:v>
      </x:c>
      <x:c r="AE36" s="32" t="n">
        <x:f>IF(OR(Z36="",Z36="Excluido"),0,I36*L36*AB36)</x:f>
        <x:v>0</x:v>
      </x:c>
      <x:c r="AF36" s="32" t="n">
        <x:f>IF(OR(Z36="",Z36="Excluido"),0,J36*M36*AC36)</x:f>
        <x:v>0</x:v>
      </x:c>
    </x:row>
    <x:row r="37">
      <x:c r="A37" s="21"/>
      <x:c r="B37" s="21"/>
      <x:c r="C37" s="21"/>
      <x:c r="D37" s="21"/>
      <x:c r="E37" s="21"/>
      <x:c r="F37" s="21"/>
      <x:c r="G37" s="21"/>
      <x:c r="H37" s="31"/>
      <x:c r="I37" s="31"/>
      <x:c r="J37" s="31"/>
      <x:c r="K37" s="31"/>
      <x:c r="L37" s="31"/>
      <x:c r="M37" s="31"/>
      <x:c r="N37" s="24"/>
      <x:c r="O37" s="24"/>
      <x:c r="P37" s="24"/>
      <x:c r="Q37" s="21"/>
      <x:c r="R37" s="21"/>
      <x:c r="S37" s="21"/>
      <x:c r="T37" s="21"/>
      <x:c r="U37" s="21"/>
      <x:c r="V37" s="21"/>
      <x:c r="W37" s="21"/>
      <x:c r="X37" s="21"/>
      <x:c r="Y37" s="21"/>
      <x:c r="Z37" s="30" t="str">
        <x:f>IF(B37="","",IF(OR(U37&lt;&gt;"Sí",V37="X"),"Excluido",IF(OR(V37="D",V37="E",W37="Baja"),"Exploratorio","Principal")))</x:f>
      </x:c>
      <x:c r="AA37" s="33" t="n">
        <x:f>IF(OR(N37="",Q37=""),0,IF(T37="Inmediata",0,IF(Q37&lt;=0,0,IF(CASO!$E$6=0,N37*IF(T37="Constante",Q37,(Q37+1)/2),N37*IF(T37="Constante",((1-(1/(1+CASO!$E$6))^Q37)/(1-(1/(1+CASO!$E$6)))),((1-(1/(1+CASO!$E$6))^Q37)/(1-(1/(1+CASO!$E$6))))-(((1/(1+CASO!$E$6))-Q37*(1/(1+CASO!$E$6))^Q37+(Q37-1)*(1/(1+CASO!$E$6))^(Q37+1))/(1-(1/(1+CASO!$E$6)))^2)/Q37)))))</x:f>
        <x:v>0</x:v>
      </x:c>
      <x:c r="AB37" s="33" t="n">
        <x:f>IF(OR(O37="",R37=""),0,IF(T37="Inmediata",0,IF(R37&lt;=0,0,IF(CASO!$E$7=0,O37*IF(T37="Constante",R37,(R37+1)/2),O37*IF(T37="Constante",((1-(1/(1+CASO!$E$7))^R37)/(1-(1/(1+CASO!$E$7)))),((1-(1/(1+CASO!$E$7))^R37)/(1-(1/(1+CASO!$E$7))))-(((1/(1+CASO!$E$7))-R37*(1/(1+CASO!$E$7))^R37+(R37-1)*(1/(1+CASO!$E$7))^(R37+1))/(1-(1/(1+CASO!$E$7)))^2)/R37)))))</x:f>
        <x:v>0</x:v>
      </x:c>
      <x:c r="AC37" s="33" t="n">
        <x:f>IF(OR(P37="",S37=""),0,IF(T37="Inmediata",0,IF(S37&lt;=0,0,IF(CASO!$E$8=0,P37*IF(T37="Constante",S37,(S37+1)/2),P37*IF(T37="Constante",((1-(1/(1+CASO!$E$8))^S37)/(1-(1/(1+CASO!$E$8)))),((1-(1/(1+CASO!$E$8))^S37)/(1-(1/(1+CASO!$E$8))))-(((1/(1+CASO!$E$8))-S37*(1/(1+CASO!$E$8))^S37+(S37-1)*(1/(1+CASO!$E$8))^(S37+1))/(1-(1/(1+CASO!$E$8)))^2)/S37)))))</x:f>
        <x:v>0</x:v>
      </x:c>
      <x:c r="AD37" s="32" t="n">
        <x:f>IF(OR(Z37="",Z37="Excluido"),0,H37*K37*AA37)</x:f>
        <x:v>0</x:v>
      </x:c>
      <x:c r="AE37" s="32" t="n">
        <x:f>IF(OR(Z37="",Z37="Excluido"),0,I37*L37*AB37)</x:f>
        <x:v>0</x:v>
      </x:c>
      <x:c r="AF37" s="32" t="n">
        <x:f>IF(OR(Z37="",Z37="Excluido"),0,J37*M37*AC37)</x:f>
        <x:v>0</x:v>
      </x:c>
    </x:row>
    <x:row r="38">
      <x:c r="A38" s="21"/>
      <x:c r="B38" s="21"/>
      <x:c r="C38" s="21"/>
      <x:c r="D38" s="21"/>
      <x:c r="E38" s="21"/>
      <x:c r="F38" s="21"/>
      <x:c r="G38" s="21"/>
      <x:c r="H38" s="31"/>
      <x:c r="I38" s="31"/>
      <x:c r="J38" s="31"/>
      <x:c r="K38" s="31"/>
      <x:c r="L38" s="31"/>
      <x:c r="M38" s="31"/>
      <x:c r="N38" s="24"/>
      <x:c r="O38" s="24"/>
      <x:c r="P38" s="24"/>
      <x:c r="Q38" s="21"/>
      <x:c r="R38" s="21"/>
      <x:c r="S38" s="21"/>
      <x:c r="T38" s="21"/>
      <x:c r="U38" s="21"/>
      <x:c r="V38" s="21"/>
      <x:c r="W38" s="21"/>
      <x:c r="X38" s="21"/>
      <x:c r="Y38" s="21"/>
      <x:c r="Z38" s="30" t="str">
        <x:f>IF(B38="","",IF(OR(U38&lt;&gt;"Sí",V38="X"),"Excluido",IF(OR(V38="D",V38="E",W38="Baja"),"Exploratorio","Principal")))</x:f>
      </x:c>
      <x:c r="AA38" s="33" t="n">
        <x:f>IF(OR(N38="",Q38=""),0,IF(T38="Inmediata",0,IF(Q38&lt;=0,0,IF(CASO!$E$6=0,N38*IF(T38="Constante",Q38,(Q38+1)/2),N38*IF(T38="Constante",((1-(1/(1+CASO!$E$6))^Q38)/(1-(1/(1+CASO!$E$6)))),((1-(1/(1+CASO!$E$6))^Q38)/(1-(1/(1+CASO!$E$6))))-(((1/(1+CASO!$E$6))-Q38*(1/(1+CASO!$E$6))^Q38+(Q38-1)*(1/(1+CASO!$E$6))^(Q38+1))/(1-(1/(1+CASO!$E$6)))^2)/Q38)))))</x:f>
        <x:v>0</x:v>
      </x:c>
      <x:c r="AB38" s="33" t="n">
        <x:f>IF(OR(O38="",R38=""),0,IF(T38="Inmediata",0,IF(R38&lt;=0,0,IF(CASO!$E$7=0,O38*IF(T38="Constante",R38,(R38+1)/2),O38*IF(T38="Constante",((1-(1/(1+CASO!$E$7))^R38)/(1-(1/(1+CASO!$E$7)))),((1-(1/(1+CASO!$E$7))^R38)/(1-(1/(1+CASO!$E$7))))-(((1/(1+CASO!$E$7))-R38*(1/(1+CASO!$E$7))^R38+(R38-1)*(1/(1+CASO!$E$7))^(R38+1))/(1-(1/(1+CASO!$E$7)))^2)/R38)))))</x:f>
        <x:v>0</x:v>
      </x:c>
      <x:c r="AC38" s="33" t="n">
        <x:f>IF(OR(P38="",S38=""),0,IF(T38="Inmediata",0,IF(S38&lt;=0,0,IF(CASO!$E$8=0,P38*IF(T38="Constante",S38,(S38+1)/2),P38*IF(T38="Constante",((1-(1/(1+CASO!$E$8))^S38)/(1-(1/(1+CASO!$E$8)))),((1-(1/(1+CASO!$E$8))^S38)/(1-(1/(1+CASO!$E$8))))-(((1/(1+CASO!$E$8))-S38*(1/(1+CASO!$E$8))^S38+(S38-1)*(1/(1+CASO!$E$8))^(S38+1))/(1-(1/(1+CASO!$E$8)))^2)/S38)))))</x:f>
        <x:v>0</x:v>
      </x:c>
      <x:c r="AD38" s="32" t="n">
        <x:f>IF(OR(Z38="",Z38="Excluido"),0,H38*K38*AA38)</x:f>
        <x:v>0</x:v>
      </x:c>
      <x:c r="AE38" s="32" t="n">
        <x:f>IF(OR(Z38="",Z38="Excluido"),0,I38*L38*AB38)</x:f>
        <x:v>0</x:v>
      </x:c>
      <x:c r="AF38" s="32" t="n">
        <x:f>IF(OR(Z38="",Z38="Excluido"),0,J38*M38*AC38)</x:f>
        <x:v>0</x:v>
      </x:c>
    </x:row>
    <x:row r="39">
      <x:c r="A39" s="21"/>
      <x:c r="B39" s="21"/>
      <x:c r="C39" s="21"/>
      <x:c r="D39" s="21"/>
      <x:c r="E39" s="21"/>
      <x:c r="F39" s="21"/>
      <x:c r="G39" s="21"/>
      <x:c r="H39" s="31"/>
      <x:c r="I39" s="31"/>
      <x:c r="J39" s="31"/>
      <x:c r="K39" s="31"/>
      <x:c r="L39" s="31"/>
      <x:c r="M39" s="31"/>
      <x:c r="N39" s="24"/>
      <x:c r="O39" s="24"/>
      <x:c r="P39" s="24"/>
      <x:c r="Q39" s="21"/>
      <x:c r="R39" s="21"/>
      <x:c r="S39" s="21"/>
      <x:c r="T39" s="21"/>
      <x:c r="U39" s="21"/>
      <x:c r="V39" s="21"/>
      <x:c r="W39" s="21"/>
      <x:c r="X39" s="21"/>
      <x:c r="Y39" s="21"/>
      <x:c r="Z39" s="30" t="str">
        <x:f>IF(B39="","",IF(OR(U39&lt;&gt;"Sí",V39="X"),"Excluido",IF(OR(V39="D",V39="E",W39="Baja"),"Exploratorio","Principal")))</x:f>
      </x:c>
      <x:c r="AA39" s="33" t="n">
        <x:f>IF(OR(N39="",Q39=""),0,IF(T39="Inmediata",0,IF(Q39&lt;=0,0,IF(CASO!$E$6=0,N39*IF(T39="Constante",Q39,(Q39+1)/2),N39*IF(T39="Constante",((1-(1/(1+CASO!$E$6))^Q39)/(1-(1/(1+CASO!$E$6)))),((1-(1/(1+CASO!$E$6))^Q39)/(1-(1/(1+CASO!$E$6))))-(((1/(1+CASO!$E$6))-Q39*(1/(1+CASO!$E$6))^Q39+(Q39-1)*(1/(1+CASO!$E$6))^(Q39+1))/(1-(1/(1+CASO!$E$6)))^2)/Q39)))))</x:f>
        <x:v>0</x:v>
      </x:c>
      <x:c r="AB39" s="33" t="n">
        <x:f>IF(OR(O39="",R39=""),0,IF(T39="Inmediata",0,IF(R39&lt;=0,0,IF(CASO!$E$7=0,O39*IF(T39="Constante",R39,(R39+1)/2),O39*IF(T39="Constante",((1-(1/(1+CASO!$E$7))^R39)/(1-(1/(1+CASO!$E$7)))),((1-(1/(1+CASO!$E$7))^R39)/(1-(1/(1+CASO!$E$7))))-(((1/(1+CASO!$E$7))-R39*(1/(1+CASO!$E$7))^R39+(R39-1)*(1/(1+CASO!$E$7))^(R39+1))/(1-(1/(1+CASO!$E$7)))^2)/R39)))))</x:f>
        <x:v>0</x:v>
      </x:c>
      <x:c r="AC39" s="33" t="n">
        <x:f>IF(OR(P39="",S39=""),0,IF(T39="Inmediata",0,IF(S39&lt;=0,0,IF(CASO!$E$8=0,P39*IF(T39="Constante",S39,(S39+1)/2),P39*IF(T39="Constante",((1-(1/(1+CASO!$E$8))^S39)/(1-(1/(1+CASO!$E$8)))),((1-(1/(1+CASO!$E$8))^S39)/(1-(1/(1+CASO!$E$8))))-(((1/(1+CASO!$E$8))-S39*(1/(1+CASO!$E$8))^S39+(S39-1)*(1/(1+CASO!$E$8))^(S39+1))/(1-(1/(1+CASO!$E$8)))^2)/S39)))))</x:f>
        <x:v>0</x:v>
      </x:c>
      <x:c r="AD39" s="32" t="n">
        <x:f>IF(OR(Z39="",Z39="Excluido"),0,H39*K39*AA39)</x:f>
        <x:v>0</x:v>
      </x:c>
      <x:c r="AE39" s="32" t="n">
        <x:f>IF(OR(Z39="",Z39="Excluido"),0,I39*L39*AB39)</x:f>
        <x:v>0</x:v>
      </x:c>
      <x:c r="AF39" s="32" t="n">
        <x:f>IF(OR(Z39="",Z39="Excluido"),0,J39*M39*AC39)</x:f>
        <x:v>0</x:v>
      </x:c>
    </x:row>
    <x:row r="40">
      <x:c r="A40" s="21"/>
      <x:c r="B40" s="21"/>
      <x:c r="C40" s="21"/>
      <x:c r="D40" s="21"/>
      <x:c r="E40" s="21"/>
      <x:c r="F40" s="21"/>
      <x:c r="G40" s="21"/>
      <x:c r="H40" s="31"/>
      <x:c r="I40" s="31"/>
      <x:c r="J40" s="31"/>
      <x:c r="K40" s="31"/>
      <x:c r="L40" s="31"/>
      <x:c r="M40" s="31"/>
      <x:c r="N40" s="24"/>
      <x:c r="O40" s="24"/>
      <x:c r="P40" s="24"/>
      <x:c r="Q40" s="21"/>
      <x:c r="R40" s="21"/>
      <x:c r="S40" s="21"/>
      <x:c r="T40" s="21"/>
      <x:c r="U40" s="21"/>
      <x:c r="V40" s="21"/>
      <x:c r="W40" s="21"/>
      <x:c r="X40" s="21"/>
      <x:c r="Y40" s="21"/>
      <x:c r="Z40" s="30" t="str">
        <x:f>IF(B40="","",IF(OR(U40&lt;&gt;"Sí",V40="X"),"Excluido",IF(OR(V40="D",V40="E",W40="Baja"),"Exploratorio","Principal")))</x:f>
      </x:c>
      <x:c r="AA40" s="33" t="n">
        <x:f>IF(OR(N40="",Q40=""),0,IF(T40="Inmediata",0,IF(Q40&lt;=0,0,IF(CASO!$E$6=0,N40*IF(T40="Constante",Q40,(Q40+1)/2),N40*IF(T40="Constante",((1-(1/(1+CASO!$E$6))^Q40)/(1-(1/(1+CASO!$E$6)))),((1-(1/(1+CASO!$E$6))^Q40)/(1-(1/(1+CASO!$E$6))))-(((1/(1+CASO!$E$6))-Q40*(1/(1+CASO!$E$6))^Q40+(Q40-1)*(1/(1+CASO!$E$6))^(Q40+1))/(1-(1/(1+CASO!$E$6)))^2)/Q40)))))</x:f>
        <x:v>0</x:v>
      </x:c>
      <x:c r="AB40" s="33" t="n">
        <x:f>IF(OR(O40="",R40=""),0,IF(T40="Inmediata",0,IF(R40&lt;=0,0,IF(CASO!$E$7=0,O40*IF(T40="Constante",R40,(R40+1)/2),O40*IF(T40="Constante",((1-(1/(1+CASO!$E$7))^R40)/(1-(1/(1+CASO!$E$7)))),((1-(1/(1+CASO!$E$7))^R40)/(1-(1/(1+CASO!$E$7))))-(((1/(1+CASO!$E$7))-R40*(1/(1+CASO!$E$7))^R40+(R40-1)*(1/(1+CASO!$E$7))^(R40+1))/(1-(1/(1+CASO!$E$7)))^2)/R40)))))</x:f>
        <x:v>0</x:v>
      </x:c>
      <x:c r="AC40" s="33" t="n">
        <x:f>IF(OR(P40="",S40=""),0,IF(T40="Inmediata",0,IF(S40&lt;=0,0,IF(CASO!$E$8=0,P40*IF(T40="Constante",S40,(S40+1)/2),P40*IF(T40="Constante",((1-(1/(1+CASO!$E$8))^S40)/(1-(1/(1+CASO!$E$8)))),((1-(1/(1+CASO!$E$8))^S40)/(1-(1/(1+CASO!$E$8))))-(((1/(1+CASO!$E$8))-S40*(1/(1+CASO!$E$8))^S40+(S40-1)*(1/(1+CASO!$E$8))^(S40+1))/(1-(1/(1+CASO!$E$8)))^2)/S40)))))</x:f>
        <x:v>0</x:v>
      </x:c>
      <x:c r="AD40" s="32" t="n">
        <x:f>IF(OR(Z40="",Z40="Excluido"),0,H40*K40*AA40)</x:f>
        <x:v>0</x:v>
      </x:c>
      <x:c r="AE40" s="32" t="n">
        <x:f>IF(OR(Z40="",Z40="Excluido"),0,I40*L40*AB40)</x:f>
        <x:v>0</x:v>
      </x:c>
      <x:c r="AF40" s="32" t="n">
        <x:f>IF(OR(Z40="",Z40="Excluido"),0,J40*M40*AC40)</x:f>
        <x:v>0</x:v>
      </x:c>
    </x:row>
    <x:row r="41">
      <x:c r="A41" s="21"/>
      <x:c r="B41" s="21"/>
      <x:c r="C41" s="21"/>
      <x:c r="D41" s="21"/>
      <x:c r="E41" s="21"/>
      <x:c r="F41" s="21"/>
      <x:c r="G41" s="21"/>
      <x:c r="H41" s="31"/>
      <x:c r="I41" s="31"/>
      <x:c r="J41" s="31"/>
      <x:c r="K41" s="31"/>
      <x:c r="L41" s="31"/>
      <x:c r="M41" s="31"/>
      <x:c r="N41" s="24"/>
      <x:c r="O41" s="24"/>
      <x:c r="P41" s="24"/>
      <x:c r="Q41" s="21"/>
      <x:c r="R41" s="21"/>
      <x:c r="S41" s="21"/>
      <x:c r="T41" s="21"/>
      <x:c r="U41" s="21"/>
      <x:c r="V41" s="21"/>
      <x:c r="W41" s="21"/>
      <x:c r="X41" s="21"/>
      <x:c r="Y41" s="21"/>
      <x:c r="Z41" s="30" t="str">
        <x:f>IF(B41="","",IF(OR(U41&lt;&gt;"Sí",V41="X"),"Excluido",IF(OR(V41="D",V41="E",W41="Baja"),"Exploratorio","Principal")))</x:f>
      </x:c>
      <x:c r="AA41" s="33" t="n">
        <x:f>IF(OR(N41="",Q41=""),0,IF(T41="Inmediata",0,IF(Q41&lt;=0,0,IF(CASO!$E$6=0,N41*IF(T41="Constante",Q41,(Q41+1)/2),N41*IF(T41="Constante",((1-(1/(1+CASO!$E$6))^Q41)/(1-(1/(1+CASO!$E$6)))),((1-(1/(1+CASO!$E$6))^Q41)/(1-(1/(1+CASO!$E$6))))-(((1/(1+CASO!$E$6))-Q41*(1/(1+CASO!$E$6))^Q41+(Q41-1)*(1/(1+CASO!$E$6))^(Q41+1))/(1-(1/(1+CASO!$E$6)))^2)/Q41)))))</x:f>
        <x:v>0</x:v>
      </x:c>
      <x:c r="AB41" s="33" t="n">
        <x:f>IF(OR(O41="",R41=""),0,IF(T41="Inmediata",0,IF(R41&lt;=0,0,IF(CASO!$E$7=0,O41*IF(T41="Constante",R41,(R41+1)/2),O41*IF(T41="Constante",((1-(1/(1+CASO!$E$7))^R41)/(1-(1/(1+CASO!$E$7)))),((1-(1/(1+CASO!$E$7))^R41)/(1-(1/(1+CASO!$E$7))))-(((1/(1+CASO!$E$7))-R41*(1/(1+CASO!$E$7))^R41+(R41-1)*(1/(1+CASO!$E$7))^(R41+1))/(1-(1/(1+CASO!$E$7)))^2)/R41)))))</x:f>
        <x:v>0</x:v>
      </x:c>
      <x:c r="AC41" s="33" t="n">
        <x:f>IF(OR(P41="",S41=""),0,IF(T41="Inmediata",0,IF(S41&lt;=0,0,IF(CASO!$E$8=0,P41*IF(T41="Constante",S41,(S41+1)/2),P41*IF(T41="Constante",((1-(1/(1+CASO!$E$8))^S41)/(1-(1/(1+CASO!$E$8)))),((1-(1/(1+CASO!$E$8))^S41)/(1-(1/(1+CASO!$E$8))))-(((1/(1+CASO!$E$8))-S41*(1/(1+CASO!$E$8))^S41+(S41-1)*(1/(1+CASO!$E$8))^(S41+1))/(1-(1/(1+CASO!$E$8)))^2)/S41)))))</x:f>
        <x:v>0</x:v>
      </x:c>
      <x:c r="AD41" s="32" t="n">
        <x:f>IF(OR(Z41="",Z41="Excluido"),0,H41*K41*AA41)</x:f>
        <x:v>0</x:v>
      </x:c>
      <x:c r="AE41" s="32" t="n">
        <x:f>IF(OR(Z41="",Z41="Excluido"),0,I41*L41*AB41)</x:f>
        <x:v>0</x:v>
      </x:c>
      <x:c r="AF41" s="32" t="n">
        <x:f>IF(OR(Z41="",Z41="Excluido"),0,J41*M41*AC41)</x:f>
        <x:v>0</x:v>
      </x:c>
    </x:row>
    <x:row r="42">
      <x:c r="A42" s="21"/>
      <x:c r="B42" s="21"/>
      <x:c r="C42" s="21"/>
      <x:c r="D42" s="21"/>
      <x:c r="E42" s="21"/>
      <x:c r="F42" s="21"/>
      <x:c r="G42" s="21"/>
      <x:c r="H42" s="31"/>
      <x:c r="I42" s="31"/>
      <x:c r="J42" s="31"/>
      <x:c r="K42" s="31"/>
      <x:c r="L42" s="31"/>
      <x:c r="M42" s="31"/>
      <x:c r="N42" s="24"/>
      <x:c r="O42" s="24"/>
      <x:c r="P42" s="24"/>
      <x:c r="Q42" s="21"/>
      <x:c r="R42" s="21"/>
      <x:c r="S42" s="21"/>
      <x:c r="T42" s="21"/>
      <x:c r="U42" s="21"/>
      <x:c r="V42" s="21"/>
      <x:c r="W42" s="21"/>
      <x:c r="X42" s="21"/>
      <x:c r="Y42" s="21"/>
      <x:c r="Z42" s="30" t="str">
        <x:f>IF(B42="","",IF(OR(U42&lt;&gt;"Sí",V42="X"),"Excluido",IF(OR(V42="D",V42="E",W42="Baja"),"Exploratorio","Principal")))</x:f>
      </x:c>
      <x:c r="AA42" s="33" t="n">
        <x:f>IF(OR(N42="",Q42=""),0,IF(T42="Inmediata",0,IF(Q42&lt;=0,0,IF(CASO!$E$6=0,N42*IF(T42="Constante",Q42,(Q42+1)/2),N42*IF(T42="Constante",((1-(1/(1+CASO!$E$6))^Q42)/(1-(1/(1+CASO!$E$6)))),((1-(1/(1+CASO!$E$6))^Q42)/(1-(1/(1+CASO!$E$6))))-(((1/(1+CASO!$E$6))-Q42*(1/(1+CASO!$E$6))^Q42+(Q42-1)*(1/(1+CASO!$E$6))^(Q42+1))/(1-(1/(1+CASO!$E$6)))^2)/Q42)))))</x:f>
        <x:v>0</x:v>
      </x:c>
      <x:c r="AB42" s="33" t="n">
        <x:f>IF(OR(O42="",R42=""),0,IF(T42="Inmediata",0,IF(R42&lt;=0,0,IF(CASO!$E$7=0,O42*IF(T42="Constante",R42,(R42+1)/2),O42*IF(T42="Constante",((1-(1/(1+CASO!$E$7))^R42)/(1-(1/(1+CASO!$E$7)))),((1-(1/(1+CASO!$E$7))^R42)/(1-(1/(1+CASO!$E$7))))-(((1/(1+CASO!$E$7))-R42*(1/(1+CASO!$E$7))^R42+(R42-1)*(1/(1+CASO!$E$7))^(R42+1))/(1-(1/(1+CASO!$E$7)))^2)/R42)))))</x:f>
        <x:v>0</x:v>
      </x:c>
      <x:c r="AC42" s="33" t="n">
        <x:f>IF(OR(P42="",S42=""),0,IF(T42="Inmediata",0,IF(S42&lt;=0,0,IF(CASO!$E$8=0,P42*IF(T42="Constante",S42,(S42+1)/2),P42*IF(T42="Constante",((1-(1/(1+CASO!$E$8))^S42)/(1-(1/(1+CASO!$E$8)))),((1-(1/(1+CASO!$E$8))^S42)/(1-(1/(1+CASO!$E$8))))-(((1/(1+CASO!$E$8))-S42*(1/(1+CASO!$E$8))^S42+(S42-1)*(1/(1+CASO!$E$8))^(S42+1))/(1-(1/(1+CASO!$E$8)))^2)/S42)))))</x:f>
        <x:v>0</x:v>
      </x:c>
      <x:c r="AD42" s="32" t="n">
        <x:f>IF(OR(Z42="",Z42="Excluido"),0,H42*K42*AA42)</x:f>
        <x:v>0</x:v>
      </x:c>
      <x:c r="AE42" s="32" t="n">
        <x:f>IF(OR(Z42="",Z42="Excluido"),0,I42*L42*AB42)</x:f>
        <x:v>0</x:v>
      </x:c>
      <x:c r="AF42" s="32" t="n">
        <x:f>IF(OR(Z42="",Z42="Excluido"),0,J42*M42*AC42)</x:f>
        <x:v>0</x:v>
      </x:c>
    </x:row>
    <x:row r="43">
      <x:c r="A43" s="21"/>
      <x:c r="B43" s="21"/>
      <x:c r="C43" s="21"/>
      <x:c r="D43" s="21"/>
      <x:c r="E43" s="21"/>
      <x:c r="F43" s="21"/>
      <x:c r="G43" s="21"/>
      <x:c r="H43" s="31"/>
      <x:c r="I43" s="31"/>
      <x:c r="J43" s="31"/>
      <x:c r="K43" s="31"/>
      <x:c r="L43" s="31"/>
      <x:c r="M43" s="31"/>
      <x:c r="N43" s="24"/>
      <x:c r="O43" s="24"/>
      <x:c r="P43" s="24"/>
      <x:c r="Q43" s="21"/>
      <x:c r="R43" s="21"/>
      <x:c r="S43" s="21"/>
      <x:c r="T43" s="21"/>
      <x:c r="U43" s="21"/>
      <x:c r="V43" s="21"/>
      <x:c r="W43" s="21"/>
      <x:c r="X43" s="21"/>
      <x:c r="Y43" s="21"/>
      <x:c r="Z43" s="30" t="str">
        <x:f>IF(B43="","",IF(OR(U43&lt;&gt;"Sí",V43="X"),"Excluido",IF(OR(V43="D",V43="E",W43="Baja"),"Exploratorio","Principal")))</x:f>
      </x:c>
      <x:c r="AA43" s="33" t="n">
        <x:f>IF(OR(N43="",Q43=""),0,IF(T43="Inmediata",0,IF(Q43&lt;=0,0,IF(CASO!$E$6=0,N43*IF(T43="Constante",Q43,(Q43+1)/2),N43*IF(T43="Constante",((1-(1/(1+CASO!$E$6))^Q43)/(1-(1/(1+CASO!$E$6)))),((1-(1/(1+CASO!$E$6))^Q43)/(1-(1/(1+CASO!$E$6))))-(((1/(1+CASO!$E$6))-Q43*(1/(1+CASO!$E$6))^Q43+(Q43-1)*(1/(1+CASO!$E$6))^(Q43+1))/(1-(1/(1+CASO!$E$6)))^2)/Q43)))))</x:f>
        <x:v>0</x:v>
      </x:c>
      <x:c r="AB43" s="33" t="n">
        <x:f>IF(OR(O43="",R43=""),0,IF(T43="Inmediata",0,IF(R43&lt;=0,0,IF(CASO!$E$7=0,O43*IF(T43="Constante",R43,(R43+1)/2),O43*IF(T43="Constante",((1-(1/(1+CASO!$E$7))^R43)/(1-(1/(1+CASO!$E$7)))),((1-(1/(1+CASO!$E$7))^R43)/(1-(1/(1+CASO!$E$7))))-(((1/(1+CASO!$E$7))-R43*(1/(1+CASO!$E$7))^R43+(R43-1)*(1/(1+CASO!$E$7))^(R43+1))/(1-(1/(1+CASO!$E$7)))^2)/R43)))))</x:f>
        <x:v>0</x:v>
      </x:c>
      <x:c r="AC43" s="33" t="n">
        <x:f>IF(OR(P43="",S43=""),0,IF(T43="Inmediata",0,IF(S43&lt;=0,0,IF(CASO!$E$8=0,P43*IF(T43="Constante",S43,(S43+1)/2),P43*IF(T43="Constante",((1-(1/(1+CASO!$E$8))^S43)/(1-(1/(1+CASO!$E$8)))),((1-(1/(1+CASO!$E$8))^S43)/(1-(1/(1+CASO!$E$8))))-(((1/(1+CASO!$E$8))-S43*(1/(1+CASO!$E$8))^S43+(S43-1)*(1/(1+CASO!$E$8))^(S43+1))/(1-(1/(1+CASO!$E$8)))^2)/S43)))))</x:f>
        <x:v>0</x:v>
      </x:c>
      <x:c r="AD43" s="32" t="n">
        <x:f>IF(OR(Z43="",Z43="Excluido"),0,H43*K43*AA43)</x:f>
        <x:v>0</x:v>
      </x:c>
      <x:c r="AE43" s="32" t="n">
        <x:f>IF(OR(Z43="",Z43="Excluido"),0,I43*L43*AB43)</x:f>
        <x:v>0</x:v>
      </x:c>
      <x:c r="AF43" s="32" t="n">
        <x:f>IF(OR(Z43="",Z43="Excluido"),0,J43*M43*AC43)</x:f>
        <x:v>0</x:v>
      </x:c>
    </x:row>
    <x:row r="44">
      <x:c r="A44" s="21"/>
      <x:c r="B44" s="21"/>
      <x:c r="C44" s="21"/>
      <x:c r="D44" s="21"/>
      <x:c r="E44" s="21"/>
      <x:c r="F44" s="21"/>
      <x:c r="G44" s="21"/>
      <x:c r="H44" s="31"/>
      <x:c r="I44" s="31"/>
      <x:c r="J44" s="31"/>
      <x:c r="K44" s="31"/>
      <x:c r="L44" s="31"/>
      <x:c r="M44" s="31"/>
      <x:c r="N44" s="24"/>
      <x:c r="O44" s="24"/>
      <x:c r="P44" s="24"/>
      <x:c r="Q44" s="21"/>
      <x:c r="R44" s="21"/>
      <x:c r="S44" s="21"/>
      <x:c r="T44" s="21"/>
      <x:c r="U44" s="21"/>
      <x:c r="V44" s="21"/>
      <x:c r="W44" s="21"/>
      <x:c r="X44" s="21"/>
      <x:c r="Y44" s="21"/>
      <x:c r="Z44" s="30" t="str">
        <x:f>IF(B44="","",IF(OR(U44&lt;&gt;"Sí",V44="X"),"Excluido",IF(OR(V44="D",V44="E",W44="Baja"),"Exploratorio","Principal")))</x:f>
      </x:c>
      <x:c r="AA44" s="33" t="n">
        <x:f>IF(OR(N44="",Q44=""),0,IF(T44="Inmediata",0,IF(Q44&lt;=0,0,IF(CASO!$E$6=0,N44*IF(T44="Constante",Q44,(Q44+1)/2),N44*IF(T44="Constante",((1-(1/(1+CASO!$E$6))^Q44)/(1-(1/(1+CASO!$E$6)))),((1-(1/(1+CASO!$E$6))^Q44)/(1-(1/(1+CASO!$E$6))))-(((1/(1+CASO!$E$6))-Q44*(1/(1+CASO!$E$6))^Q44+(Q44-1)*(1/(1+CASO!$E$6))^(Q44+1))/(1-(1/(1+CASO!$E$6)))^2)/Q44)))))</x:f>
        <x:v>0</x:v>
      </x:c>
      <x:c r="AB44" s="33" t="n">
        <x:f>IF(OR(O44="",R44=""),0,IF(T44="Inmediata",0,IF(R44&lt;=0,0,IF(CASO!$E$7=0,O44*IF(T44="Constante",R44,(R44+1)/2),O44*IF(T44="Constante",((1-(1/(1+CASO!$E$7))^R44)/(1-(1/(1+CASO!$E$7)))),((1-(1/(1+CASO!$E$7))^R44)/(1-(1/(1+CASO!$E$7))))-(((1/(1+CASO!$E$7))-R44*(1/(1+CASO!$E$7))^R44+(R44-1)*(1/(1+CASO!$E$7))^(R44+1))/(1-(1/(1+CASO!$E$7)))^2)/R44)))))</x:f>
        <x:v>0</x:v>
      </x:c>
      <x:c r="AC44" s="33" t="n">
        <x:f>IF(OR(P44="",S44=""),0,IF(T44="Inmediata",0,IF(S44&lt;=0,0,IF(CASO!$E$8=0,P44*IF(T44="Constante",S44,(S44+1)/2),P44*IF(T44="Constante",((1-(1/(1+CASO!$E$8))^S44)/(1-(1/(1+CASO!$E$8)))),((1-(1/(1+CASO!$E$8))^S44)/(1-(1/(1+CASO!$E$8))))-(((1/(1+CASO!$E$8))-S44*(1/(1+CASO!$E$8))^S44+(S44-1)*(1/(1+CASO!$E$8))^(S44+1))/(1-(1/(1+CASO!$E$8)))^2)/S44)))))</x:f>
        <x:v>0</x:v>
      </x:c>
      <x:c r="AD44" s="32" t="n">
        <x:f>IF(OR(Z44="",Z44="Excluido"),0,H44*K44*AA44)</x:f>
        <x:v>0</x:v>
      </x:c>
      <x:c r="AE44" s="32" t="n">
        <x:f>IF(OR(Z44="",Z44="Excluido"),0,I44*L44*AB44)</x:f>
        <x:v>0</x:v>
      </x:c>
      <x:c r="AF44" s="32" t="n">
        <x:f>IF(OR(Z44="",Z44="Excluido"),0,J44*M44*AC44)</x:f>
        <x:v>0</x:v>
      </x:c>
    </x:row>
    <x:row r="45">
      <x:c r="A45" s="21"/>
      <x:c r="B45" s="21"/>
      <x:c r="C45" s="21"/>
      <x:c r="D45" s="21"/>
      <x:c r="E45" s="21"/>
      <x:c r="F45" s="21"/>
      <x:c r="G45" s="21"/>
      <x:c r="H45" s="31"/>
      <x:c r="I45" s="31"/>
      <x:c r="J45" s="31"/>
      <x:c r="K45" s="31"/>
      <x:c r="L45" s="31"/>
      <x:c r="M45" s="31"/>
      <x:c r="N45" s="24"/>
      <x:c r="O45" s="24"/>
      <x:c r="P45" s="24"/>
      <x:c r="Q45" s="21"/>
      <x:c r="R45" s="21"/>
      <x:c r="S45" s="21"/>
      <x:c r="T45" s="21"/>
      <x:c r="U45" s="21"/>
      <x:c r="V45" s="21"/>
      <x:c r="W45" s="21"/>
      <x:c r="X45" s="21"/>
      <x:c r="Y45" s="21"/>
      <x:c r="Z45" s="30" t="str">
        <x:f>IF(B45="","",IF(OR(U45&lt;&gt;"Sí",V45="X"),"Excluido",IF(OR(V45="D",V45="E",W45="Baja"),"Exploratorio","Principal")))</x:f>
      </x:c>
      <x:c r="AA45" s="33" t="n">
        <x:f>IF(OR(N45="",Q45=""),0,IF(T45="Inmediata",0,IF(Q45&lt;=0,0,IF(CASO!$E$6=0,N45*IF(T45="Constante",Q45,(Q45+1)/2),N45*IF(T45="Constante",((1-(1/(1+CASO!$E$6))^Q45)/(1-(1/(1+CASO!$E$6)))),((1-(1/(1+CASO!$E$6))^Q45)/(1-(1/(1+CASO!$E$6))))-(((1/(1+CASO!$E$6))-Q45*(1/(1+CASO!$E$6))^Q45+(Q45-1)*(1/(1+CASO!$E$6))^(Q45+1))/(1-(1/(1+CASO!$E$6)))^2)/Q45)))))</x:f>
        <x:v>0</x:v>
      </x:c>
      <x:c r="AB45" s="33" t="n">
        <x:f>IF(OR(O45="",R45=""),0,IF(T45="Inmediata",0,IF(R45&lt;=0,0,IF(CASO!$E$7=0,O45*IF(T45="Constante",R45,(R45+1)/2),O45*IF(T45="Constante",((1-(1/(1+CASO!$E$7))^R45)/(1-(1/(1+CASO!$E$7)))),((1-(1/(1+CASO!$E$7))^R45)/(1-(1/(1+CASO!$E$7))))-(((1/(1+CASO!$E$7))-R45*(1/(1+CASO!$E$7))^R45+(R45-1)*(1/(1+CASO!$E$7))^(R45+1))/(1-(1/(1+CASO!$E$7)))^2)/R45)))))</x:f>
        <x:v>0</x:v>
      </x:c>
      <x:c r="AC45" s="33" t="n">
        <x:f>IF(OR(P45="",S45=""),0,IF(T45="Inmediata",0,IF(S45&lt;=0,0,IF(CASO!$E$8=0,P45*IF(T45="Constante",S45,(S45+1)/2),P45*IF(T45="Constante",((1-(1/(1+CASO!$E$8))^S45)/(1-(1/(1+CASO!$E$8)))),((1-(1/(1+CASO!$E$8))^S45)/(1-(1/(1+CASO!$E$8))))-(((1/(1+CASO!$E$8))-S45*(1/(1+CASO!$E$8))^S45+(S45-1)*(1/(1+CASO!$E$8))^(S45+1))/(1-(1/(1+CASO!$E$8)))^2)/S45)))))</x:f>
        <x:v>0</x:v>
      </x:c>
      <x:c r="AD45" s="32" t="n">
        <x:f>IF(OR(Z45="",Z45="Excluido"),0,H45*K45*AA45)</x:f>
        <x:v>0</x:v>
      </x:c>
      <x:c r="AE45" s="32" t="n">
        <x:f>IF(OR(Z45="",Z45="Excluido"),0,I45*L45*AB45)</x:f>
        <x:v>0</x:v>
      </x:c>
      <x:c r="AF45" s="32" t="n">
        <x:f>IF(OR(Z45="",Z45="Excluido"),0,J45*M45*AC45)</x:f>
        <x:v>0</x:v>
      </x:c>
    </x:row>
    <x:row r="46">
      <x:c r="A46" s="21"/>
      <x:c r="B46" s="21"/>
      <x:c r="C46" s="21"/>
      <x:c r="D46" s="21"/>
      <x:c r="E46" s="21"/>
      <x:c r="F46" s="21"/>
      <x:c r="G46" s="21"/>
      <x:c r="H46" s="31"/>
      <x:c r="I46" s="31"/>
      <x:c r="J46" s="31"/>
      <x:c r="K46" s="31"/>
      <x:c r="L46" s="31"/>
      <x:c r="M46" s="31"/>
      <x:c r="N46" s="24"/>
      <x:c r="O46" s="24"/>
      <x:c r="P46" s="24"/>
      <x:c r="Q46" s="21"/>
      <x:c r="R46" s="21"/>
      <x:c r="S46" s="21"/>
      <x:c r="T46" s="21"/>
      <x:c r="U46" s="21"/>
      <x:c r="V46" s="21"/>
      <x:c r="W46" s="21"/>
      <x:c r="X46" s="21"/>
      <x:c r="Y46" s="21"/>
      <x:c r="Z46" s="30" t="str">
        <x:f>IF(B46="","",IF(OR(U46&lt;&gt;"Sí",V46="X"),"Excluido",IF(OR(V46="D",V46="E",W46="Baja"),"Exploratorio","Principal")))</x:f>
      </x:c>
      <x:c r="AA46" s="33" t="n">
        <x:f>IF(OR(N46="",Q46=""),0,IF(T46="Inmediata",0,IF(Q46&lt;=0,0,IF(CASO!$E$6=0,N46*IF(T46="Constante",Q46,(Q46+1)/2),N46*IF(T46="Constante",((1-(1/(1+CASO!$E$6))^Q46)/(1-(1/(1+CASO!$E$6)))),((1-(1/(1+CASO!$E$6))^Q46)/(1-(1/(1+CASO!$E$6))))-(((1/(1+CASO!$E$6))-Q46*(1/(1+CASO!$E$6))^Q46+(Q46-1)*(1/(1+CASO!$E$6))^(Q46+1))/(1-(1/(1+CASO!$E$6)))^2)/Q46)))))</x:f>
        <x:v>0</x:v>
      </x:c>
      <x:c r="AB46" s="33" t="n">
        <x:f>IF(OR(O46="",R46=""),0,IF(T46="Inmediata",0,IF(R46&lt;=0,0,IF(CASO!$E$7=0,O46*IF(T46="Constante",R46,(R46+1)/2),O46*IF(T46="Constante",((1-(1/(1+CASO!$E$7))^R46)/(1-(1/(1+CASO!$E$7)))),((1-(1/(1+CASO!$E$7))^R46)/(1-(1/(1+CASO!$E$7))))-(((1/(1+CASO!$E$7))-R46*(1/(1+CASO!$E$7))^R46+(R46-1)*(1/(1+CASO!$E$7))^(R46+1))/(1-(1/(1+CASO!$E$7)))^2)/R46)))))</x:f>
        <x:v>0</x:v>
      </x:c>
      <x:c r="AC46" s="33" t="n">
        <x:f>IF(OR(P46="",S46=""),0,IF(T46="Inmediata",0,IF(S46&lt;=0,0,IF(CASO!$E$8=0,P46*IF(T46="Constante",S46,(S46+1)/2),P46*IF(T46="Constante",((1-(1/(1+CASO!$E$8))^S46)/(1-(1/(1+CASO!$E$8)))),((1-(1/(1+CASO!$E$8))^S46)/(1-(1/(1+CASO!$E$8))))-(((1/(1+CASO!$E$8))-S46*(1/(1+CASO!$E$8))^S46+(S46-1)*(1/(1+CASO!$E$8))^(S46+1))/(1-(1/(1+CASO!$E$8)))^2)/S46)))))</x:f>
        <x:v>0</x:v>
      </x:c>
      <x:c r="AD46" s="32" t="n">
        <x:f>IF(OR(Z46="",Z46="Excluido"),0,H46*K46*AA46)</x:f>
        <x:v>0</x:v>
      </x:c>
      <x:c r="AE46" s="32" t="n">
        <x:f>IF(OR(Z46="",Z46="Excluido"),0,I46*L46*AB46)</x:f>
        <x:v>0</x:v>
      </x:c>
      <x:c r="AF46" s="32" t="n">
        <x:f>IF(OR(Z46="",Z46="Excluido"),0,J46*M46*AC46)</x:f>
        <x:v>0</x:v>
      </x:c>
    </x:row>
    <x:row r="47">
      <x:c r="A47" s="21"/>
      <x:c r="B47" s="21"/>
      <x:c r="C47" s="21"/>
      <x:c r="D47" s="21"/>
      <x:c r="E47" s="21"/>
      <x:c r="F47" s="21"/>
      <x:c r="G47" s="21"/>
      <x:c r="H47" s="31"/>
      <x:c r="I47" s="31"/>
      <x:c r="J47" s="31"/>
      <x:c r="K47" s="31"/>
      <x:c r="L47" s="31"/>
      <x:c r="M47" s="31"/>
      <x:c r="N47" s="24"/>
      <x:c r="O47" s="24"/>
      <x:c r="P47" s="24"/>
      <x:c r="Q47" s="21"/>
      <x:c r="R47" s="21"/>
      <x:c r="S47" s="21"/>
      <x:c r="T47" s="21"/>
      <x:c r="U47" s="21"/>
      <x:c r="V47" s="21"/>
      <x:c r="W47" s="21"/>
      <x:c r="X47" s="21"/>
      <x:c r="Y47" s="21"/>
      <x:c r="Z47" s="30" t="str">
        <x:f>IF(B47="","",IF(OR(U47&lt;&gt;"Sí",V47="X"),"Excluido",IF(OR(V47="D",V47="E",W47="Baja"),"Exploratorio","Principal")))</x:f>
      </x:c>
      <x:c r="AA47" s="33" t="n">
        <x:f>IF(OR(N47="",Q47=""),0,IF(T47="Inmediata",0,IF(Q47&lt;=0,0,IF(CASO!$E$6=0,N47*IF(T47="Constante",Q47,(Q47+1)/2),N47*IF(T47="Constante",((1-(1/(1+CASO!$E$6))^Q47)/(1-(1/(1+CASO!$E$6)))),((1-(1/(1+CASO!$E$6))^Q47)/(1-(1/(1+CASO!$E$6))))-(((1/(1+CASO!$E$6))-Q47*(1/(1+CASO!$E$6))^Q47+(Q47-1)*(1/(1+CASO!$E$6))^(Q47+1))/(1-(1/(1+CASO!$E$6)))^2)/Q47)))))</x:f>
        <x:v>0</x:v>
      </x:c>
      <x:c r="AB47" s="33" t="n">
        <x:f>IF(OR(O47="",R47=""),0,IF(T47="Inmediata",0,IF(R47&lt;=0,0,IF(CASO!$E$7=0,O47*IF(T47="Constante",R47,(R47+1)/2),O47*IF(T47="Constante",((1-(1/(1+CASO!$E$7))^R47)/(1-(1/(1+CASO!$E$7)))),((1-(1/(1+CASO!$E$7))^R47)/(1-(1/(1+CASO!$E$7))))-(((1/(1+CASO!$E$7))-R47*(1/(1+CASO!$E$7))^R47+(R47-1)*(1/(1+CASO!$E$7))^(R47+1))/(1-(1/(1+CASO!$E$7)))^2)/R47)))))</x:f>
        <x:v>0</x:v>
      </x:c>
      <x:c r="AC47" s="33" t="n">
        <x:f>IF(OR(P47="",S47=""),0,IF(T47="Inmediata",0,IF(S47&lt;=0,0,IF(CASO!$E$8=0,P47*IF(T47="Constante",S47,(S47+1)/2),P47*IF(T47="Constante",((1-(1/(1+CASO!$E$8))^S47)/(1-(1/(1+CASO!$E$8)))),((1-(1/(1+CASO!$E$8))^S47)/(1-(1/(1+CASO!$E$8))))-(((1/(1+CASO!$E$8))-S47*(1/(1+CASO!$E$8))^S47+(S47-1)*(1/(1+CASO!$E$8))^(S47+1))/(1-(1/(1+CASO!$E$8)))^2)/S47)))))</x:f>
        <x:v>0</x:v>
      </x:c>
      <x:c r="AD47" s="32" t="n">
        <x:f>IF(OR(Z47="",Z47="Excluido"),0,H47*K47*AA47)</x:f>
        <x:v>0</x:v>
      </x:c>
      <x:c r="AE47" s="32" t="n">
        <x:f>IF(OR(Z47="",Z47="Excluido"),0,I47*L47*AB47)</x:f>
        <x:v>0</x:v>
      </x:c>
      <x:c r="AF47" s="32" t="n">
        <x:f>IF(OR(Z47="",Z47="Excluido"),0,J47*M47*AC47)</x:f>
        <x:v>0</x:v>
      </x:c>
    </x:row>
    <x:row r="48">
      <x:c r="A48" s="21"/>
      <x:c r="B48" s="21"/>
      <x:c r="C48" s="21"/>
      <x:c r="D48" s="21"/>
      <x:c r="E48" s="21"/>
      <x:c r="F48" s="21"/>
      <x:c r="G48" s="21"/>
      <x:c r="H48" s="31"/>
      <x:c r="I48" s="31"/>
      <x:c r="J48" s="31"/>
      <x:c r="K48" s="31"/>
      <x:c r="L48" s="31"/>
      <x:c r="M48" s="31"/>
      <x:c r="N48" s="24"/>
      <x:c r="O48" s="24"/>
      <x:c r="P48" s="24"/>
      <x:c r="Q48" s="21"/>
      <x:c r="R48" s="21"/>
      <x:c r="S48" s="21"/>
      <x:c r="T48" s="21"/>
      <x:c r="U48" s="21"/>
      <x:c r="V48" s="21"/>
      <x:c r="W48" s="21"/>
      <x:c r="X48" s="21"/>
      <x:c r="Y48" s="21"/>
      <x:c r="Z48" s="30" t="str">
        <x:f>IF(B48="","",IF(OR(U48&lt;&gt;"Sí",V48="X"),"Excluido",IF(OR(V48="D",V48="E",W48="Baja"),"Exploratorio","Principal")))</x:f>
      </x:c>
      <x:c r="AA48" s="33" t="n">
        <x:f>IF(OR(N48="",Q48=""),0,IF(T48="Inmediata",0,IF(Q48&lt;=0,0,IF(CASO!$E$6=0,N48*IF(T48="Constante",Q48,(Q48+1)/2),N48*IF(T48="Constante",((1-(1/(1+CASO!$E$6))^Q48)/(1-(1/(1+CASO!$E$6)))),((1-(1/(1+CASO!$E$6))^Q48)/(1-(1/(1+CASO!$E$6))))-(((1/(1+CASO!$E$6))-Q48*(1/(1+CASO!$E$6))^Q48+(Q48-1)*(1/(1+CASO!$E$6))^(Q48+1))/(1-(1/(1+CASO!$E$6)))^2)/Q48)))))</x:f>
        <x:v>0</x:v>
      </x:c>
      <x:c r="AB48" s="33" t="n">
        <x:f>IF(OR(O48="",R48=""),0,IF(T48="Inmediata",0,IF(R48&lt;=0,0,IF(CASO!$E$7=0,O48*IF(T48="Constante",R48,(R48+1)/2),O48*IF(T48="Constante",((1-(1/(1+CASO!$E$7))^R48)/(1-(1/(1+CASO!$E$7)))),((1-(1/(1+CASO!$E$7))^R48)/(1-(1/(1+CASO!$E$7))))-(((1/(1+CASO!$E$7))-R48*(1/(1+CASO!$E$7))^R48+(R48-1)*(1/(1+CASO!$E$7))^(R48+1))/(1-(1/(1+CASO!$E$7)))^2)/R48)))))</x:f>
        <x:v>0</x:v>
      </x:c>
      <x:c r="AC48" s="33" t="n">
        <x:f>IF(OR(P48="",S48=""),0,IF(T48="Inmediata",0,IF(S48&lt;=0,0,IF(CASO!$E$8=0,P48*IF(T48="Constante",S48,(S48+1)/2),P48*IF(T48="Constante",((1-(1/(1+CASO!$E$8))^S48)/(1-(1/(1+CASO!$E$8)))),((1-(1/(1+CASO!$E$8))^S48)/(1-(1/(1+CASO!$E$8))))-(((1/(1+CASO!$E$8))-S48*(1/(1+CASO!$E$8))^S48+(S48-1)*(1/(1+CASO!$E$8))^(S48+1))/(1-(1/(1+CASO!$E$8)))^2)/S48)))))</x:f>
        <x:v>0</x:v>
      </x:c>
      <x:c r="AD48" s="32" t="n">
        <x:f>IF(OR(Z48="",Z48="Excluido"),0,H48*K48*AA48)</x:f>
        <x:v>0</x:v>
      </x:c>
      <x:c r="AE48" s="32" t="n">
        <x:f>IF(OR(Z48="",Z48="Excluido"),0,I48*L48*AB48)</x:f>
        <x:v>0</x:v>
      </x:c>
      <x:c r="AF48" s="32" t="n">
        <x:f>IF(OR(Z48="",Z48="Excluido"),0,J48*M48*AC48)</x:f>
        <x:v>0</x:v>
      </x:c>
    </x:row>
    <x:row r="49">
      <x:c r="A49" s="21"/>
      <x:c r="B49" s="21"/>
      <x:c r="C49" s="21"/>
      <x:c r="D49" s="21"/>
      <x:c r="E49" s="21"/>
      <x:c r="F49" s="21"/>
      <x:c r="G49" s="21"/>
      <x:c r="H49" s="31"/>
      <x:c r="I49" s="31"/>
      <x:c r="J49" s="31"/>
      <x:c r="K49" s="31"/>
      <x:c r="L49" s="31"/>
      <x:c r="M49" s="31"/>
      <x:c r="N49" s="24"/>
      <x:c r="O49" s="24"/>
      <x:c r="P49" s="24"/>
      <x:c r="Q49" s="21"/>
      <x:c r="R49" s="21"/>
      <x:c r="S49" s="21"/>
      <x:c r="T49" s="21"/>
      <x:c r="U49" s="21"/>
      <x:c r="V49" s="21"/>
      <x:c r="W49" s="21"/>
      <x:c r="X49" s="21"/>
      <x:c r="Y49" s="21"/>
      <x:c r="Z49" s="30" t="str">
        <x:f>IF(B49="","",IF(OR(U49&lt;&gt;"Sí",V49="X"),"Excluido",IF(OR(V49="D",V49="E",W49="Baja"),"Exploratorio","Principal")))</x:f>
      </x:c>
      <x:c r="AA49" s="33" t="n">
        <x:f>IF(OR(N49="",Q49=""),0,IF(T49="Inmediata",0,IF(Q49&lt;=0,0,IF(CASO!$E$6=0,N49*IF(T49="Constante",Q49,(Q49+1)/2),N49*IF(T49="Constante",((1-(1/(1+CASO!$E$6))^Q49)/(1-(1/(1+CASO!$E$6)))),((1-(1/(1+CASO!$E$6))^Q49)/(1-(1/(1+CASO!$E$6))))-(((1/(1+CASO!$E$6))-Q49*(1/(1+CASO!$E$6))^Q49+(Q49-1)*(1/(1+CASO!$E$6))^(Q49+1))/(1-(1/(1+CASO!$E$6)))^2)/Q49)))))</x:f>
        <x:v>0</x:v>
      </x:c>
      <x:c r="AB49" s="33" t="n">
        <x:f>IF(OR(O49="",R49=""),0,IF(T49="Inmediata",0,IF(R49&lt;=0,0,IF(CASO!$E$7=0,O49*IF(T49="Constante",R49,(R49+1)/2),O49*IF(T49="Constante",((1-(1/(1+CASO!$E$7))^R49)/(1-(1/(1+CASO!$E$7)))),((1-(1/(1+CASO!$E$7))^R49)/(1-(1/(1+CASO!$E$7))))-(((1/(1+CASO!$E$7))-R49*(1/(1+CASO!$E$7))^R49+(R49-1)*(1/(1+CASO!$E$7))^(R49+1))/(1-(1/(1+CASO!$E$7)))^2)/R49)))))</x:f>
        <x:v>0</x:v>
      </x:c>
      <x:c r="AC49" s="33" t="n">
        <x:f>IF(OR(P49="",S49=""),0,IF(T49="Inmediata",0,IF(S49&lt;=0,0,IF(CASO!$E$8=0,P49*IF(T49="Constante",S49,(S49+1)/2),P49*IF(T49="Constante",((1-(1/(1+CASO!$E$8))^S49)/(1-(1/(1+CASO!$E$8)))),((1-(1/(1+CASO!$E$8))^S49)/(1-(1/(1+CASO!$E$8))))-(((1/(1+CASO!$E$8))-S49*(1/(1+CASO!$E$8))^S49+(S49-1)*(1/(1+CASO!$E$8))^(S49+1))/(1-(1/(1+CASO!$E$8)))^2)/S49)))))</x:f>
        <x:v>0</x:v>
      </x:c>
      <x:c r="AD49" s="32" t="n">
        <x:f>IF(OR(Z49="",Z49="Excluido"),0,H49*K49*AA49)</x:f>
        <x:v>0</x:v>
      </x:c>
      <x:c r="AE49" s="32" t="n">
        <x:f>IF(OR(Z49="",Z49="Excluido"),0,I49*L49*AB49)</x:f>
        <x:v>0</x:v>
      </x:c>
      <x:c r="AF49" s="32" t="n">
        <x:f>IF(OR(Z49="",Z49="Excluido"),0,J49*M49*AC49)</x:f>
        <x:v>0</x:v>
      </x:c>
    </x:row>
    <x:row r="50">
      <x:c r="A50" s="21"/>
      <x:c r="B50" s="21"/>
      <x:c r="C50" s="21"/>
      <x:c r="D50" s="21"/>
      <x:c r="E50" s="21"/>
      <x:c r="F50" s="21"/>
      <x:c r="G50" s="21"/>
      <x:c r="H50" s="31"/>
      <x:c r="I50" s="31"/>
      <x:c r="J50" s="31"/>
      <x:c r="K50" s="31"/>
      <x:c r="L50" s="31"/>
      <x:c r="M50" s="31"/>
      <x:c r="N50" s="24"/>
      <x:c r="O50" s="24"/>
      <x:c r="P50" s="24"/>
      <x:c r="Q50" s="21"/>
      <x:c r="R50" s="21"/>
      <x:c r="S50" s="21"/>
      <x:c r="T50" s="21"/>
      <x:c r="U50" s="21"/>
      <x:c r="V50" s="21"/>
      <x:c r="W50" s="21"/>
      <x:c r="X50" s="21"/>
      <x:c r="Y50" s="21"/>
      <x:c r="Z50" s="30" t="str">
        <x:f>IF(B50="","",IF(OR(U50&lt;&gt;"Sí",V50="X"),"Excluido",IF(OR(V50="D",V50="E",W50="Baja"),"Exploratorio","Principal")))</x:f>
      </x:c>
      <x:c r="AA50" s="33" t="n">
        <x:f>IF(OR(N50="",Q50=""),0,IF(T50="Inmediata",0,IF(Q50&lt;=0,0,IF(CASO!$E$6=0,N50*IF(T50="Constante",Q50,(Q50+1)/2),N50*IF(T50="Constante",((1-(1/(1+CASO!$E$6))^Q50)/(1-(1/(1+CASO!$E$6)))),((1-(1/(1+CASO!$E$6))^Q50)/(1-(1/(1+CASO!$E$6))))-(((1/(1+CASO!$E$6))-Q50*(1/(1+CASO!$E$6))^Q50+(Q50-1)*(1/(1+CASO!$E$6))^(Q50+1))/(1-(1/(1+CASO!$E$6)))^2)/Q50)))))</x:f>
        <x:v>0</x:v>
      </x:c>
      <x:c r="AB50" s="33" t="n">
        <x:f>IF(OR(O50="",R50=""),0,IF(T50="Inmediata",0,IF(R50&lt;=0,0,IF(CASO!$E$7=0,O50*IF(T50="Constante",R50,(R50+1)/2),O50*IF(T50="Constante",((1-(1/(1+CASO!$E$7))^R50)/(1-(1/(1+CASO!$E$7)))),((1-(1/(1+CASO!$E$7))^R50)/(1-(1/(1+CASO!$E$7))))-(((1/(1+CASO!$E$7))-R50*(1/(1+CASO!$E$7))^R50+(R50-1)*(1/(1+CASO!$E$7))^(R50+1))/(1-(1/(1+CASO!$E$7)))^2)/R50)))))</x:f>
        <x:v>0</x:v>
      </x:c>
      <x:c r="AC50" s="33" t="n">
        <x:f>IF(OR(P50="",S50=""),0,IF(T50="Inmediata",0,IF(S50&lt;=0,0,IF(CASO!$E$8=0,P50*IF(T50="Constante",S50,(S50+1)/2),P50*IF(T50="Constante",((1-(1/(1+CASO!$E$8))^S50)/(1-(1/(1+CASO!$E$8)))),((1-(1/(1+CASO!$E$8))^S50)/(1-(1/(1+CASO!$E$8))))-(((1/(1+CASO!$E$8))-S50*(1/(1+CASO!$E$8))^S50+(S50-1)*(1/(1+CASO!$E$8))^(S50+1))/(1-(1/(1+CASO!$E$8)))^2)/S50)))))</x:f>
        <x:v>0</x:v>
      </x:c>
      <x:c r="AD50" s="32" t="n">
        <x:f>IF(OR(Z50="",Z50="Excluido"),0,H50*K50*AA50)</x:f>
        <x:v>0</x:v>
      </x:c>
      <x:c r="AE50" s="32" t="n">
        <x:f>IF(OR(Z50="",Z50="Excluido"),0,I50*L50*AB50)</x:f>
        <x:v>0</x:v>
      </x:c>
      <x:c r="AF50" s="32" t="n">
        <x:f>IF(OR(Z50="",Z50="Excluido"),0,J50*M50*AC50)</x:f>
        <x:v>0</x:v>
      </x:c>
    </x:row>
    <x:row r="51">
      <x:c r="A51" s="21"/>
      <x:c r="B51" s="21"/>
      <x:c r="C51" s="21"/>
      <x:c r="D51" s="21"/>
      <x:c r="E51" s="21"/>
      <x:c r="F51" s="21"/>
      <x:c r="G51" s="21"/>
      <x:c r="H51" s="31"/>
      <x:c r="I51" s="31"/>
      <x:c r="J51" s="31"/>
      <x:c r="K51" s="31"/>
      <x:c r="L51" s="31"/>
      <x:c r="M51" s="31"/>
      <x:c r="N51" s="24"/>
      <x:c r="O51" s="24"/>
      <x:c r="P51" s="24"/>
      <x:c r="Q51" s="21"/>
      <x:c r="R51" s="21"/>
      <x:c r="S51" s="21"/>
      <x:c r="T51" s="21"/>
      <x:c r="U51" s="21"/>
      <x:c r="V51" s="21"/>
      <x:c r="W51" s="21"/>
      <x:c r="X51" s="21"/>
      <x:c r="Y51" s="21"/>
      <x:c r="Z51" s="30" t="str">
        <x:f>IF(B51="","",IF(OR(U51&lt;&gt;"Sí",V51="X"),"Excluido",IF(OR(V51="D",V51="E",W51="Baja"),"Exploratorio","Principal")))</x:f>
      </x:c>
      <x:c r="AA51" s="33" t="n">
        <x:f>IF(OR(N51="",Q51=""),0,IF(T51="Inmediata",0,IF(Q51&lt;=0,0,IF(CASO!$E$6=0,N51*IF(T51="Constante",Q51,(Q51+1)/2),N51*IF(T51="Constante",((1-(1/(1+CASO!$E$6))^Q51)/(1-(1/(1+CASO!$E$6)))),((1-(1/(1+CASO!$E$6))^Q51)/(1-(1/(1+CASO!$E$6))))-(((1/(1+CASO!$E$6))-Q51*(1/(1+CASO!$E$6))^Q51+(Q51-1)*(1/(1+CASO!$E$6))^(Q51+1))/(1-(1/(1+CASO!$E$6)))^2)/Q51)))))</x:f>
        <x:v>0</x:v>
      </x:c>
      <x:c r="AB51" s="33" t="n">
        <x:f>IF(OR(O51="",R51=""),0,IF(T51="Inmediata",0,IF(R51&lt;=0,0,IF(CASO!$E$7=0,O51*IF(T51="Constante",R51,(R51+1)/2),O51*IF(T51="Constante",((1-(1/(1+CASO!$E$7))^R51)/(1-(1/(1+CASO!$E$7)))),((1-(1/(1+CASO!$E$7))^R51)/(1-(1/(1+CASO!$E$7))))-(((1/(1+CASO!$E$7))-R51*(1/(1+CASO!$E$7))^R51+(R51-1)*(1/(1+CASO!$E$7))^(R51+1))/(1-(1/(1+CASO!$E$7)))^2)/R51)))))</x:f>
        <x:v>0</x:v>
      </x:c>
      <x:c r="AC51" s="33" t="n">
        <x:f>IF(OR(P51="",S51=""),0,IF(T51="Inmediata",0,IF(S51&lt;=0,0,IF(CASO!$E$8=0,P51*IF(T51="Constante",S51,(S51+1)/2),P51*IF(T51="Constante",((1-(1/(1+CASO!$E$8))^S51)/(1-(1/(1+CASO!$E$8)))),((1-(1/(1+CASO!$E$8))^S51)/(1-(1/(1+CASO!$E$8))))-(((1/(1+CASO!$E$8))-S51*(1/(1+CASO!$E$8))^S51+(S51-1)*(1/(1+CASO!$E$8))^(S51+1))/(1-(1/(1+CASO!$E$8)))^2)/S51)))))</x:f>
        <x:v>0</x:v>
      </x:c>
      <x:c r="AD51" s="32" t="n">
        <x:f>IF(OR(Z51="",Z51="Excluido"),0,H51*K51*AA51)</x:f>
        <x:v>0</x:v>
      </x:c>
      <x:c r="AE51" s="32" t="n">
        <x:f>IF(OR(Z51="",Z51="Excluido"),0,I51*L51*AB51)</x:f>
        <x:v>0</x:v>
      </x:c>
      <x:c r="AF51" s="32" t="n">
        <x:f>IF(OR(Z51="",Z51="Excluido"),0,J51*M51*AC51)</x:f>
        <x:v>0</x:v>
      </x:c>
    </x:row>
    <x:row r="52">
      <x:c r="A52" s="21"/>
      <x:c r="B52" s="21"/>
      <x:c r="C52" s="21"/>
      <x:c r="D52" s="21"/>
      <x:c r="E52" s="21"/>
      <x:c r="F52" s="21"/>
      <x:c r="G52" s="21"/>
      <x:c r="H52" s="31"/>
      <x:c r="I52" s="31"/>
      <x:c r="J52" s="31"/>
      <x:c r="K52" s="31"/>
      <x:c r="L52" s="31"/>
      <x:c r="M52" s="31"/>
      <x:c r="N52" s="24"/>
      <x:c r="O52" s="24"/>
      <x:c r="P52" s="24"/>
      <x:c r="Q52" s="21"/>
      <x:c r="R52" s="21"/>
      <x:c r="S52" s="21"/>
      <x:c r="T52" s="21"/>
      <x:c r="U52" s="21"/>
      <x:c r="V52" s="21"/>
      <x:c r="W52" s="21"/>
      <x:c r="X52" s="21"/>
      <x:c r="Y52" s="21"/>
      <x:c r="Z52" s="30" t="str">
        <x:f>IF(B52="","",IF(OR(U52&lt;&gt;"Sí",V52="X"),"Excluido",IF(OR(V52="D",V52="E",W52="Baja"),"Exploratorio","Principal")))</x:f>
      </x:c>
      <x:c r="AA52" s="33" t="n">
        <x:f>IF(OR(N52="",Q52=""),0,IF(T52="Inmediata",0,IF(Q52&lt;=0,0,IF(CASO!$E$6=0,N52*IF(T52="Constante",Q52,(Q52+1)/2),N52*IF(T52="Constante",((1-(1/(1+CASO!$E$6))^Q52)/(1-(1/(1+CASO!$E$6)))),((1-(1/(1+CASO!$E$6))^Q52)/(1-(1/(1+CASO!$E$6))))-(((1/(1+CASO!$E$6))-Q52*(1/(1+CASO!$E$6))^Q52+(Q52-1)*(1/(1+CASO!$E$6))^(Q52+1))/(1-(1/(1+CASO!$E$6)))^2)/Q52)))))</x:f>
        <x:v>0</x:v>
      </x:c>
      <x:c r="AB52" s="33" t="n">
        <x:f>IF(OR(O52="",R52=""),0,IF(T52="Inmediata",0,IF(R52&lt;=0,0,IF(CASO!$E$7=0,O52*IF(T52="Constante",R52,(R52+1)/2),O52*IF(T52="Constante",((1-(1/(1+CASO!$E$7))^R52)/(1-(1/(1+CASO!$E$7)))),((1-(1/(1+CASO!$E$7))^R52)/(1-(1/(1+CASO!$E$7))))-(((1/(1+CASO!$E$7))-R52*(1/(1+CASO!$E$7))^R52+(R52-1)*(1/(1+CASO!$E$7))^(R52+1))/(1-(1/(1+CASO!$E$7)))^2)/R52)))))</x:f>
        <x:v>0</x:v>
      </x:c>
      <x:c r="AC52" s="33" t="n">
        <x:f>IF(OR(P52="",S52=""),0,IF(T52="Inmediata",0,IF(S52&lt;=0,0,IF(CASO!$E$8=0,P52*IF(T52="Constante",S52,(S52+1)/2),P52*IF(T52="Constante",((1-(1/(1+CASO!$E$8))^S52)/(1-(1/(1+CASO!$E$8)))),((1-(1/(1+CASO!$E$8))^S52)/(1-(1/(1+CASO!$E$8))))-(((1/(1+CASO!$E$8))-S52*(1/(1+CASO!$E$8))^S52+(S52-1)*(1/(1+CASO!$E$8))^(S52+1))/(1-(1/(1+CASO!$E$8)))^2)/S52)))))</x:f>
        <x:v>0</x:v>
      </x:c>
      <x:c r="AD52" s="32" t="n">
        <x:f>IF(OR(Z52="",Z52="Excluido"),0,H52*K52*AA52)</x:f>
        <x:v>0</x:v>
      </x:c>
      <x:c r="AE52" s="32" t="n">
        <x:f>IF(OR(Z52="",Z52="Excluido"),0,I52*L52*AB52)</x:f>
        <x:v>0</x:v>
      </x:c>
      <x:c r="AF52" s="32" t="n">
        <x:f>IF(OR(Z52="",Z52="Excluido"),0,J52*M52*AC52)</x:f>
        <x:v>0</x:v>
      </x:c>
    </x:row>
    <x:row r="53">
      <x:c r="A53" s="21"/>
      <x:c r="B53" s="21"/>
      <x:c r="C53" s="21"/>
      <x:c r="D53" s="21"/>
      <x:c r="E53" s="21"/>
      <x:c r="F53" s="21"/>
      <x:c r="G53" s="21"/>
      <x:c r="H53" s="31"/>
      <x:c r="I53" s="31"/>
      <x:c r="J53" s="31"/>
      <x:c r="K53" s="31"/>
      <x:c r="L53" s="31"/>
      <x:c r="M53" s="31"/>
      <x:c r="N53" s="24"/>
      <x:c r="O53" s="24"/>
      <x:c r="P53" s="24"/>
      <x:c r="Q53" s="21"/>
      <x:c r="R53" s="21"/>
      <x:c r="S53" s="21"/>
      <x:c r="T53" s="21"/>
      <x:c r="U53" s="21"/>
      <x:c r="V53" s="21"/>
      <x:c r="W53" s="21"/>
      <x:c r="X53" s="21"/>
      <x:c r="Y53" s="21"/>
      <x:c r="Z53" s="30" t="str">
        <x:f>IF(B53="","",IF(OR(U53&lt;&gt;"Sí",V53="X"),"Excluido",IF(OR(V53="D",V53="E",W53="Baja"),"Exploratorio","Principal")))</x:f>
      </x:c>
      <x:c r="AA53" s="33" t="n">
        <x:f>IF(OR(N53="",Q53=""),0,IF(T53="Inmediata",0,IF(Q53&lt;=0,0,IF(CASO!$E$6=0,N53*IF(T53="Constante",Q53,(Q53+1)/2),N53*IF(T53="Constante",((1-(1/(1+CASO!$E$6))^Q53)/(1-(1/(1+CASO!$E$6)))),((1-(1/(1+CASO!$E$6))^Q53)/(1-(1/(1+CASO!$E$6))))-(((1/(1+CASO!$E$6))-Q53*(1/(1+CASO!$E$6))^Q53+(Q53-1)*(1/(1+CASO!$E$6))^(Q53+1))/(1-(1/(1+CASO!$E$6)))^2)/Q53)))))</x:f>
        <x:v>0</x:v>
      </x:c>
      <x:c r="AB53" s="33" t="n">
        <x:f>IF(OR(O53="",R53=""),0,IF(T53="Inmediata",0,IF(R53&lt;=0,0,IF(CASO!$E$7=0,O53*IF(T53="Constante",R53,(R53+1)/2),O53*IF(T53="Constante",((1-(1/(1+CASO!$E$7))^R53)/(1-(1/(1+CASO!$E$7)))),((1-(1/(1+CASO!$E$7))^R53)/(1-(1/(1+CASO!$E$7))))-(((1/(1+CASO!$E$7))-R53*(1/(1+CASO!$E$7))^R53+(R53-1)*(1/(1+CASO!$E$7))^(R53+1))/(1-(1/(1+CASO!$E$7)))^2)/R53)))))</x:f>
        <x:v>0</x:v>
      </x:c>
      <x:c r="AC53" s="33" t="n">
        <x:f>IF(OR(P53="",S53=""),0,IF(T53="Inmediata",0,IF(S53&lt;=0,0,IF(CASO!$E$8=0,P53*IF(T53="Constante",S53,(S53+1)/2),P53*IF(T53="Constante",((1-(1/(1+CASO!$E$8))^S53)/(1-(1/(1+CASO!$E$8)))),((1-(1/(1+CASO!$E$8))^S53)/(1-(1/(1+CASO!$E$8))))-(((1/(1+CASO!$E$8))-S53*(1/(1+CASO!$E$8))^S53+(S53-1)*(1/(1+CASO!$E$8))^(S53+1))/(1-(1/(1+CASO!$E$8)))^2)/S53)))))</x:f>
        <x:v>0</x:v>
      </x:c>
      <x:c r="AD53" s="32" t="n">
        <x:f>IF(OR(Z53="",Z53="Excluido"),0,H53*K53*AA53)</x:f>
        <x:v>0</x:v>
      </x:c>
      <x:c r="AE53" s="32" t="n">
        <x:f>IF(OR(Z53="",Z53="Excluido"),0,I53*L53*AB53)</x:f>
        <x:v>0</x:v>
      </x:c>
      <x:c r="AF53" s="32" t="n">
        <x:f>IF(OR(Z53="",Z53="Excluido"),0,J53*M53*AC53)</x:f>
        <x:v>0</x:v>
      </x:c>
    </x:row>
    <x:row r="54">
      <x:c r="A54" s="21"/>
      <x:c r="B54" s="21"/>
      <x:c r="C54" s="21"/>
      <x:c r="D54" s="21"/>
      <x:c r="E54" s="21"/>
      <x:c r="F54" s="21"/>
      <x:c r="G54" s="21"/>
      <x:c r="H54" s="31"/>
      <x:c r="I54" s="31"/>
      <x:c r="J54" s="31"/>
      <x:c r="K54" s="31"/>
      <x:c r="L54" s="31"/>
      <x:c r="M54" s="31"/>
      <x:c r="N54" s="24"/>
      <x:c r="O54" s="24"/>
      <x:c r="P54" s="24"/>
      <x:c r="Q54" s="21"/>
      <x:c r="R54" s="21"/>
      <x:c r="S54" s="21"/>
      <x:c r="T54" s="21"/>
      <x:c r="U54" s="21"/>
      <x:c r="V54" s="21"/>
      <x:c r="W54" s="21"/>
      <x:c r="X54" s="21"/>
      <x:c r="Y54" s="21"/>
      <x:c r="Z54" s="30" t="str">
        <x:f>IF(B54="","",IF(OR(U54&lt;&gt;"Sí",V54="X"),"Excluido",IF(OR(V54="D",V54="E",W54="Baja"),"Exploratorio","Principal")))</x:f>
      </x:c>
      <x:c r="AA54" s="33" t="n">
        <x:f>IF(OR(N54="",Q54=""),0,IF(T54="Inmediata",0,IF(Q54&lt;=0,0,IF(CASO!$E$6=0,N54*IF(T54="Constante",Q54,(Q54+1)/2),N54*IF(T54="Constante",((1-(1/(1+CASO!$E$6))^Q54)/(1-(1/(1+CASO!$E$6)))),((1-(1/(1+CASO!$E$6))^Q54)/(1-(1/(1+CASO!$E$6))))-(((1/(1+CASO!$E$6))-Q54*(1/(1+CASO!$E$6))^Q54+(Q54-1)*(1/(1+CASO!$E$6))^(Q54+1))/(1-(1/(1+CASO!$E$6)))^2)/Q54)))))</x:f>
        <x:v>0</x:v>
      </x:c>
      <x:c r="AB54" s="33" t="n">
        <x:f>IF(OR(O54="",R54=""),0,IF(T54="Inmediata",0,IF(R54&lt;=0,0,IF(CASO!$E$7=0,O54*IF(T54="Constante",R54,(R54+1)/2),O54*IF(T54="Constante",((1-(1/(1+CASO!$E$7))^R54)/(1-(1/(1+CASO!$E$7)))),((1-(1/(1+CASO!$E$7))^R54)/(1-(1/(1+CASO!$E$7))))-(((1/(1+CASO!$E$7))-R54*(1/(1+CASO!$E$7))^R54+(R54-1)*(1/(1+CASO!$E$7))^(R54+1))/(1-(1/(1+CASO!$E$7)))^2)/R54)))))</x:f>
        <x:v>0</x:v>
      </x:c>
      <x:c r="AC54" s="33" t="n">
        <x:f>IF(OR(P54="",S54=""),0,IF(T54="Inmediata",0,IF(S54&lt;=0,0,IF(CASO!$E$8=0,P54*IF(T54="Constante",S54,(S54+1)/2),P54*IF(T54="Constante",((1-(1/(1+CASO!$E$8))^S54)/(1-(1/(1+CASO!$E$8)))),((1-(1/(1+CASO!$E$8))^S54)/(1-(1/(1+CASO!$E$8))))-(((1/(1+CASO!$E$8))-S54*(1/(1+CASO!$E$8))^S54+(S54-1)*(1/(1+CASO!$E$8))^(S54+1))/(1-(1/(1+CASO!$E$8)))^2)/S54)))))</x:f>
        <x:v>0</x:v>
      </x:c>
      <x:c r="AD54" s="32" t="n">
        <x:f>IF(OR(Z54="",Z54="Excluido"),0,H54*K54*AA54)</x:f>
        <x:v>0</x:v>
      </x:c>
      <x:c r="AE54" s="32" t="n">
        <x:f>IF(OR(Z54="",Z54="Excluido"),0,I54*L54*AB54)</x:f>
        <x:v>0</x:v>
      </x:c>
      <x:c r="AF54" s="32" t="n">
        <x:f>IF(OR(Z54="",Z54="Excluido"),0,J54*M54*AC54)</x:f>
        <x:v>0</x:v>
      </x:c>
    </x:row>
    <x:row r="55">
      <x:c r="A55" s="21"/>
      <x:c r="B55" s="21"/>
      <x:c r="C55" s="21"/>
      <x:c r="D55" s="21"/>
      <x:c r="E55" s="21"/>
      <x:c r="F55" s="21"/>
      <x:c r="G55" s="21"/>
      <x:c r="H55" s="31"/>
      <x:c r="I55" s="31"/>
      <x:c r="J55" s="31"/>
      <x:c r="K55" s="31"/>
      <x:c r="L55" s="31"/>
      <x:c r="M55" s="31"/>
      <x:c r="N55" s="24"/>
      <x:c r="O55" s="24"/>
      <x:c r="P55" s="24"/>
      <x:c r="Q55" s="21"/>
      <x:c r="R55" s="21"/>
      <x:c r="S55" s="21"/>
      <x:c r="T55" s="21"/>
      <x:c r="U55" s="21"/>
      <x:c r="V55" s="21"/>
      <x:c r="W55" s="21"/>
      <x:c r="X55" s="21"/>
      <x:c r="Y55" s="21"/>
      <x:c r="Z55" s="30" t="str">
        <x:f>IF(B55="","",IF(OR(U55&lt;&gt;"Sí",V55="X"),"Excluido",IF(OR(V55="D",V55="E",W55="Baja"),"Exploratorio","Principal")))</x:f>
      </x:c>
      <x:c r="AA55" s="33" t="n">
        <x:f>IF(OR(N55="",Q55=""),0,IF(T55="Inmediata",0,IF(Q55&lt;=0,0,IF(CASO!$E$6=0,N55*IF(T55="Constante",Q55,(Q55+1)/2),N55*IF(T55="Constante",((1-(1/(1+CASO!$E$6))^Q55)/(1-(1/(1+CASO!$E$6)))),((1-(1/(1+CASO!$E$6))^Q55)/(1-(1/(1+CASO!$E$6))))-(((1/(1+CASO!$E$6))-Q55*(1/(1+CASO!$E$6))^Q55+(Q55-1)*(1/(1+CASO!$E$6))^(Q55+1))/(1-(1/(1+CASO!$E$6)))^2)/Q55)))))</x:f>
        <x:v>0</x:v>
      </x:c>
      <x:c r="AB55" s="33" t="n">
        <x:f>IF(OR(O55="",R55=""),0,IF(T55="Inmediata",0,IF(R55&lt;=0,0,IF(CASO!$E$7=0,O55*IF(T55="Constante",R55,(R55+1)/2),O55*IF(T55="Constante",((1-(1/(1+CASO!$E$7))^R55)/(1-(1/(1+CASO!$E$7)))),((1-(1/(1+CASO!$E$7))^R55)/(1-(1/(1+CASO!$E$7))))-(((1/(1+CASO!$E$7))-R55*(1/(1+CASO!$E$7))^R55+(R55-1)*(1/(1+CASO!$E$7))^(R55+1))/(1-(1/(1+CASO!$E$7)))^2)/R55)))))</x:f>
        <x:v>0</x:v>
      </x:c>
      <x:c r="AC55" s="33" t="n">
        <x:f>IF(OR(P55="",S55=""),0,IF(T55="Inmediata",0,IF(S55&lt;=0,0,IF(CASO!$E$8=0,P55*IF(T55="Constante",S55,(S55+1)/2),P55*IF(T55="Constante",((1-(1/(1+CASO!$E$8))^S55)/(1-(1/(1+CASO!$E$8)))),((1-(1/(1+CASO!$E$8))^S55)/(1-(1/(1+CASO!$E$8))))-(((1/(1+CASO!$E$8))-S55*(1/(1+CASO!$E$8))^S55+(S55-1)*(1/(1+CASO!$E$8))^(S55+1))/(1-(1/(1+CASO!$E$8)))^2)/S55)))))</x:f>
        <x:v>0</x:v>
      </x:c>
      <x:c r="AD55" s="32" t="n">
        <x:f>IF(OR(Z55="",Z55="Excluido"),0,H55*K55*AA55)</x:f>
        <x:v>0</x:v>
      </x:c>
      <x:c r="AE55" s="32" t="n">
        <x:f>IF(OR(Z55="",Z55="Excluido"),0,I55*L55*AB55)</x:f>
        <x:v>0</x:v>
      </x:c>
      <x:c r="AF55" s="32" t="n">
        <x:f>IF(OR(Z55="",Z55="Excluido"),0,J55*M55*AC55)</x:f>
        <x:v>0</x:v>
      </x:c>
    </x:row>
    <x:row r="56">
      <x:c r="A56" s="21"/>
      <x:c r="B56" s="21"/>
      <x:c r="C56" s="21"/>
      <x:c r="D56" s="21"/>
      <x:c r="E56" s="21"/>
      <x:c r="F56" s="21"/>
      <x:c r="G56" s="21"/>
      <x:c r="H56" s="31"/>
      <x:c r="I56" s="31"/>
      <x:c r="J56" s="31"/>
      <x:c r="K56" s="31"/>
      <x:c r="L56" s="31"/>
      <x:c r="M56" s="31"/>
      <x:c r="N56" s="24"/>
      <x:c r="O56" s="24"/>
      <x:c r="P56" s="24"/>
      <x:c r="Q56" s="21"/>
      <x:c r="R56" s="21"/>
      <x:c r="S56" s="21"/>
      <x:c r="T56" s="21"/>
      <x:c r="U56" s="21"/>
      <x:c r="V56" s="21"/>
      <x:c r="W56" s="21"/>
      <x:c r="X56" s="21"/>
      <x:c r="Y56" s="21"/>
      <x:c r="Z56" s="30" t="str">
        <x:f>IF(B56="","",IF(OR(U56&lt;&gt;"Sí",V56="X"),"Excluido",IF(OR(V56="D",V56="E",W56="Baja"),"Exploratorio","Principal")))</x:f>
      </x:c>
      <x:c r="AA56" s="33" t="n">
        <x:f>IF(OR(N56="",Q56=""),0,IF(T56="Inmediata",0,IF(Q56&lt;=0,0,IF(CASO!$E$6=0,N56*IF(T56="Constante",Q56,(Q56+1)/2),N56*IF(T56="Constante",((1-(1/(1+CASO!$E$6))^Q56)/(1-(1/(1+CASO!$E$6)))),((1-(1/(1+CASO!$E$6))^Q56)/(1-(1/(1+CASO!$E$6))))-(((1/(1+CASO!$E$6))-Q56*(1/(1+CASO!$E$6))^Q56+(Q56-1)*(1/(1+CASO!$E$6))^(Q56+1))/(1-(1/(1+CASO!$E$6)))^2)/Q56)))))</x:f>
        <x:v>0</x:v>
      </x:c>
      <x:c r="AB56" s="33" t="n">
        <x:f>IF(OR(O56="",R56=""),0,IF(T56="Inmediata",0,IF(R56&lt;=0,0,IF(CASO!$E$7=0,O56*IF(T56="Constante",R56,(R56+1)/2),O56*IF(T56="Constante",((1-(1/(1+CASO!$E$7))^R56)/(1-(1/(1+CASO!$E$7)))),((1-(1/(1+CASO!$E$7))^R56)/(1-(1/(1+CASO!$E$7))))-(((1/(1+CASO!$E$7))-R56*(1/(1+CASO!$E$7))^R56+(R56-1)*(1/(1+CASO!$E$7))^(R56+1))/(1-(1/(1+CASO!$E$7)))^2)/R56)))))</x:f>
        <x:v>0</x:v>
      </x:c>
      <x:c r="AC56" s="33" t="n">
        <x:f>IF(OR(P56="",S56=""),0,IF(T56="Inmediata",0,IF(S56&lt;=0,0,IF(CASO!$E$8=0,P56*IF(T56="Constante",S56,(S56+1)/2),P56*IF(T56="Constante",((1-(1/(1+CASO!$E$8))^S56)/(1-(1/(1+CASO!$E$8)))),((1-(1/(1+CASO!$E$8))^S56)/(1-(1/(1+CASO!$E$8))))-(((1/(1+CASO!$E$8))-S56*(1/(1+CASO!$E$8))^S56+(S56-1)*(1/(1+CASO!$E$8))^(S56+1))/(1-(1/(1+CASO!$E$8)))^2)/S56)))))</x:f>
        <x:v>0</x:v>
      </x:c>
      <x:c r="AD56" s="32" t="n">
        <x:f>IF(OR(Z56="",Z56="Excluido"),0,H56*K56*AA56)</x:f>
        <x:v>0</x:v>
      </x:c>
      <x:c r="AE56" s="32" t="n">
        <x:f>IF(OR(Z56="",Z56="Excluido"),0,I56*L56*AB56)</x:f>
        <x:v>0</x:v>
      </x:c>
      <x:c r="AF56" s="32" t="n">
        <x:f>IF(OR(Z56="",Z56="Excluido"),0,J56*M56*AC56)</x:f>
        <x:v>0</x:v>
      </x:c>
    </x:row>
    <x:row r="57">
      <x:c r="A57" s="21"/>
      <x:c r="B57" s="21"/>
      <x:c r="C57" s="21"/>
      <x:c r="D57" s="21"/>
      <x:c r="E57" s="21"/>
      <x:c r="F57" s="21"/>
      <x:c r="G57" s="21"/>
      <x:c r="H57" s="31"/>
      <x:c r="I57" s="31"/>
      <x:c r="J57" s="31"/>
      <x:c r="K57" s="31"/>
      <x:c r="L57" s="31"/>
      <x:c r="M57" s="31"/>
      <x:c r="N57" s="24"/>
      <x:c r="O57" s="24"/>
      <x:c r="P57" s="24"/>
      <x:c r="Q57" s="21"/>
      <x:c r="R57" s="21"/>
      <x:c r="S57" s="21"/>
      <x:c r="T57" s="21"/>
      <x:c r="U57" s="21"/>
      <x:c r="V57" s="21"/>
      <x:c r="W57" s="21"/>
      <x:c r="X57" s="21"/>
      <x:c r="Y57" s="21"/>
      <x:c r="Z57" s="30" t="str">
        <x:f>IF(B57="","",IF(OR(U57&lt;&gt;"Sí",V57="X"),"Excluido",IF(OR(V57="D",V57="E",W57="Baja"),"Exploratorio","Principal")))</x:f>
      </x:c>
      <x:c r="AA57" s="33" t="n">
        <x:f>IF(OR(N57="",Q57=""),0,IF(T57="Inmediata",0,IF(Q57&lt;=0,0,IF(CASO!$E$6=0,N57*IF(T57="Constante",Q57,(Q57+1)/2),N57*IF(T57="Constante",((1-(1/(1+CASO!$E$6))^Q57)/(1-(1/(1+CASO!$E$6)))),((1-(1/(1+CASO!$E$6))^Q57)/(1-(1/(1+CASO!$E$6))))-(((1/(1+CASO!$E$6))-Q57*(1/(1+CASO!$E$6))^Q57+(Q57-1)*(1/(1+CASO!$E$6))^(Q57+1))/(1-(1/(1+CASO!$E$6)))^2)/Q57)))))</x:f>
        <x:v>0</x:v>
      </x:c>
      <x:c r="AB57" s="33" t="n">
        <x:f>IF(OR(O57="",R57=""),0,IF(T57="Inmediata",0,IF(R57&lt;=0,0,IF(CASO!$E$7=0,O57*IF(T57="Constante",R57,(R57+1)/2),O57*IF(T57="Constante",((1-(1/(1+CASO!$E$7))^R57)/(1-(1/(1+CASO!$E$7)))),((1-(1/(1+CASO!$E$7))^R57)/(1-(1/(1+CASO!$E$7))))-(((1/(1+CASO!$E$7))-R57*(1/(1+CASO!$E$7))^R57+(R57-1)*(1/(1+CASO!$E$7))^(R57+1))/(1-(1/(1+CASO!$E$7)))^2)/R57)))))</x:f>
        <x:v>0</x:v>
      </x:c>
      <x:c r="AC57" s="33" t="n">
        <x:f>IF(OR(P57="",S57=""),0,IF(T57="Inmediata",0,IF(S57&lt;=0,0,IF(CASO!$E$8=0,P57*IF(T57="Constante",S57,(S57+1)/2),P57*IF(T57="Constante",((1-(1/(1+CASO!$E$8))^S57)/(1-(1/(1+CASO!$E$8)))),((1-(1/(1+CASO!$E$8))^S57)/(1-(1/(1+CASO!$E$8))))-(((1/(1+CASO!$E$8))-S57*(1/(1+CASO!$E$8))^S57+(S57-1)*(1/(1+CASO!$E$8))^(S57+1))/(1-(1/(1+CASO!$E$8)))^2)/S57)))))</x:f>
        <x:v>0</x:v>
      </x:c>
      <x:c r="AD57" s="32" t="n">
        <x:f>IF(OR(Z57="",Z57="Excluido"),0,H57*K57*AA57)</x:f>
        <x:v>0</x:v>
      </x:c>
      <x:c r="AE57" s="32" t="n">
        <x:f>IF(OR(Z57="",Z57="Excluido"),0,I57*L57*AB57)</x:f>
        <x:v>0</x:v>
      </x:c>
      <x:c r="AF57" s="32" t="n">
        <x:f>IF(OR(Z57="",Z57="Excluido"),0,J57*M57*AC57)</x:f>
        <x:v>0</x:v>
      </x:c>
    </x:row>
    <x:row r="58">
      <x:c r="A58" s="21"/>
      <x:c r="B58" s="21"/>
      <x:c r="C58" s="21"/>
      <x:c r="D58" s="21"/>
      <x:c r="E58" s="21"/>
      <x:c r="F58" s="21"/>
      <x:c r="G58" s="21"/>
      <x:c r="H58" s="31"/>
      <x:c r="I58" s="31"/>
      <x:c r="J58" s="31"/>
      <x:c r="K58" s="31"/>
      <x:c r="L58" s="31"/>
      <x:c r="M58" s="31"/>
      <x:c r="N58" s="24"/>
      <x:c r="O58" s="24"/>
      <x:c r="P58" s="24"/>
      <x:c r="Q58" s="21"/>
      <x:c r="R58" s="21"/>
      <x:c r="S58" s="21"/>
      <x:c r="T58" s="21"/>
      <x:c r="U58" s="21"/>
      <x:c r="V58" s="21"/>
      <x:c r="W58" s="21"/>
      <x:c r="X58" s="21"/>
      <x:c r="Y58" s="21"/>
      <x:c r="Z58" s="30" t="str">
        <x:f>IF(B58="","",IF(OR(U58&lt;&gt;"Sí",V58="X"),"Excluido",IF(OR(V58="D",V58="E",W58="Baja"),"Exploratorio","Principal")))</x:f>
      </x:c>
      <x:c r="AA58" s="33" t="n">
        <x:f>IF(OR(N58="",Q58=""),0,IF(T58="Inmediata",0,IF(Q58&lt;=0,0,IF(CASO!$E$6=0,N58*IF(T58="Constante",Q58,(Q58+1)/2),N58*IF(T58="Constante",((1-(1/(1+CASO!$E$6))^Q58)/(1-(1/(1+CASO!$E$6)))),((1-(1/(1+CASO!$E$6))^Q58)/(1-(1/(1+CASO!$E$6))))-(((1/(1+CASO!$E$6))-Q58*(1/(1+CASO!$E$6))^Q58+(Q58-1)*(1/(1+CASO!$E$6))^(Q58+1))/(1-(1/(1+CASO!$E$6)))^2)/Q58)))))</x:f>
        <x:v>0</x:v>
      </x:c>
      <x:c r="AB58" s="33" t="n">
        <x:f>IF(OR(O58="",R58=""),0,IF(T58="Inmediata",0,IF(R58&lt;=0,0,IF(CASO!$E$7=0,O58*IF(T58="Constante",R58,(R58+1)/2),O58*IF(T58="Constante",((1-(1/(1+CASO!$E$7))^R58)/(1-(1/(1+CASO!$E$7)))),((1-(1/(1+CASO!$E$7))^R58)/(1-(1/(1+CASO!$E$7))))-(((1/(1+CASO!$E$7))-R58*(1/(1+CASO!$E$7))^R58+(R58-1)*(1/(1+CASO!$E$7))^(R58+1))/(1-(1/(1+CASO!$E$7)))^2)/R58)))))</x:f>
        <x:v>0</x:v>
      </x:c>
      <x:c r="AC58" s="33" t="n">
        <x:f>IF(OR(P58="",S58=""),0,IF(T58="Inmediata",0,IF(S58&lt;=0,0,IF(CASO!$E$8=0,P58*IF(T58="Constante",S58,(S58+1)/2),P58*IF(T58="Constante",((1-(1/(1+CASO!$E$8))^S58)/(1-(1/(1+CASO!$E$8)))),((1-(1/(1+CASO!$E$8))^S58)/(1-(1/(1+CASO!$E$8))))-(((1/(1+CASO!$E$8))-S58*(1/(1+CASO!$E$8))^S58+(S58-1)*(1/(1+CASO!$E$8))^(S58+1))/(1-(1/(1+CASO!$E$8)))^2)/S58)))))</x:f>
        <x:v>0</x:v>
      </x:c>
      <x:c r="AD58" s="32" t="n">
        <x:f>IF(OR(Z58="",Z58="Excluido"),0,H58*K58*AA58)</x:f>
        <x:v>0</x:v>
      </x:c>
      <x:c r="AE58" s="32" t="n">
        <x:f>IF(OR(Z58="",Z58="Excluido"),0,I58*L58*AB58)</x:f>
        <x:v>0</x:v>
      </x:c>
      <x:c r="AF58" s="32" t="n">
        <x:f>IF(OR(Z58="",Z58="Excluido"),0,J58*M58*AC58)</x:f>
        <x:v>0</x:v>
      </x:c>
    </x:row>
    <x:row r="59">
      <x:c r="A59" s="21"/>
      <x:c r="B59" s="21"/>
      <x:c r="C59" s="21"/>
      <x:c r="D59" s="21"/>
      <x:c r="E59" s="21"/>
      <x:c r="F59" s="21"/>
      <x:c r="G59" s="21"/>
      <x:c r="H59" s="31"/>
      <x:c r="I59" s="31"/>
      <x:c r="J59" s="31"/>
      <x:c r="K59" s="31"/>
      <x:c r="L59" s="31"/>
      <x:c r="M59" s="31"/>
      <x:c r="N59" s="24"/>
      <x:c r="O59" s="24"/>
      <x:c r="P59" s="24"/>
      <x:c r="Q59" s="21"/>
      <x:c r="R59" s="21"/>
      <x:c r="S59" s="21"/>
      <x:c r="T59" s="21"/>
      <x:c r="U59" s="21"/>
      <x:c r="V59" s="21"/>
      <x:c r="W59" s="21"/>
      <x:c r="X59" s="21"/>
      <x:c r="Y59" s="21"/>
      <x:c r="Z59" s="30" t="str">
        <x:f>IF(B59="","",IF(OR(U59&lt;&gt;"Sí",V59="X"),"Excluido",IF(OR(V59="D",V59="E",W59="Baja"),"Exploratorio","Principal")))</x:f>
      </x:c>
      <x:c r="AA59" s="33" t="n">
        <x:f>IF(OR(N59="",Q59=""),0,IF(T59="Inmediata",0,IF(Q59&lt;=0,0,IF(CASO!$E$6=0,N59*IF(T59="Constante",Q59,(Q59+1)/2),N59*IF(T59="Constante",((1-(1/(1+CASO!$E$6))^Q59)/(1-(1/(1+CASO!$E$6)))),((1-(1/(1+CASO!$E$6))^Q59)/(1-(1/(1+CASO!$E$6))))-(((1/(1+CASO!$E$6))-Q59*(1/(1+CASO!$E$6))^Q59+(Q59-1)*(1/(1+CASO!$E$6))^(Q59+1))/(1-(1/(1+CASO!$E$6)))^2)/Q59)))))</x:f>
        <x:v>0</x:v>
      </x:c>
      <x:c r="AB59" s="33" t="n">
        <x:f>IF(OR(O59="",R59=""),0,IF(T59="Inmediata",0,IF(R59&lt;=0,0,IF(CASO!$E$7=0,O59*IF(T59="Constante",R59,(R59+1)/2),O59*IF(T59="Constante",((1-(1/(1+CASO!$E$7))^R59)/(1-(1/(1+CASO!$E$7)))),((1-(1/(1+CASO!$E$7))^R59)/(1-(1/(1+CASO!$E$7))))-(((1/(1+CASO!$E$7))-R59*(1/(1+CASO!$E$7))^R59+(R59-1)*(1/(1+CASO!$E$7))^(R59+1))/(1-(1/(1+CASO!$E$7)))^2)/R59)))))</x:f>
        <x:v>0</x:v>
      </x:c>
      <x:c r="AC59" s="33" t="n">
        <x:f>IF(OR(P59="",S59=""),0,IF(T59="Inmediata",0,IF(S59&lt;=0,0,IF(CASO!$E$8=0,P59*IF(T59="Constante",S59,(S59+1)/2),P59*IF(T59="Constante",((1-(1/(1+CASO!$E$8))^S59)/(1-(1/(1+CASO!$E$8)))),((1-(1/(1+CASO!$E$8))^S59)/(1-(1/(1+CASO!$E$8))))-(((1/(1+CASO!$E$8))-S59*(1/(1+CASO!$E$8))^S59+(S59-1)*(1/(1+CASO!$E$8))^(S59+1))/(1-(1/(1+CASO!$E$8)))^2)/S59)))))</x:f>
        <x:v>0</x:v>
      </x:c>
      <x:c r="AD59" s="32" t="n">
        <x:f>IF(OR(Z59="",Z59="Excluido"),0,H59*K59*AA59)</x:f>
        <x:v>0</x:v>
      </x:c>
      <x:c r="AE59" s="32" t="n">
        <x:f>IF(OR(Z59="",Z59="Excluido"),0,I59*L59*AB59)</x:f>
        <x:v>0</x:v>
      </x:c>
      <x:c r="AF59" s="32" t="n">
        <x:f>IF(OR(Z59="",Z59="Excluido"),0,J59*M59*AC59)</x:f>
        <x:v>0</x:v>
      </x:c>
    </x:row>
    <x:row r="60">
      <x:c r="A60" s="21"/>
      <x:c r="B60" s="21"/>
      <x:c r="C60" s="21"/>
      <x:c r="D60" s="21"/>
      <x:c r="E60" s="21"/>
      <x:c r="F60" s="21"/>
      <x:c r="G60" s="21"/>
      <x:c r="H60" s="31"/>
      <x:c r="I60" s="31"/>
      <x:c r="J60" s="31"/>
      <x:c r="K60" s="31"/>
      <x:c r="L60" s="31"/>
      <x:c r="M60" s="31"/>
      <x:c r="N60" s="24"/>
      <x:c r="O60" s="24"/>
      <x:c r="P60" s="24"/>
      <x:c r="Q60" s="21"/>
      <x:c r="R60" s="21"/>
      <x:c r="S60" s="21"/>
      <x:c r="T60" s="21"/>
      <x:c r="U60" s="21"/>
      <x:c r="V60" s="21"/>
      <x:c r="W60" s="21"/>
      <x:c r="X60" s="21"/>
      <x:c r="Y60" s="21"/>
      <x:c r="Z60" s="30" t="str">
        <x:f>IF(B60="","",IF(OR(U60&lt;&gt;"Sí",V60="X"),"Excluido",IF(OR(V60="D",V60="E",W60="Baja"),"Exploratorio","Principal")))</x:f>
      </x:c>
      <x:c r="AA60" s="33" t="n">
        <x:f>IF(OR(N60="",Q60=""),0,IF(T60="Inmediata",0,IF(Q60&lt;=0,0,IF(CASO!$E$6=0,N60*IF(T60="Constante",Q60,(Q60+1)/2),N60*IF(T60="Constante",((1-(1/(1+CASO!$E$6))^Q60)/(1-(1/(1+CASO!$E$6)))),((1-(1/(1+CASO!$E$6))^Q60)/(1-(1/(1+CASO!$E$6))))-(((1/(1+CASO!$E$6))-Q60*(1/(1+CASO!$E$6))^Q60+(Q60-1)*(1/(1+CASO!$E$6))^(Q60+1))/(1-(1/(1+CASO!$E$6)))^2)/Q60)))))</x:f>
        <x:v>0</x:v>
      </x:c>
      <x:c r="AB60" s="33" t="n">
        <x:f>IF(OR(O60="",R60=""),0,IF(T60="Inmediata",0,IF(R60&lt;=0,0,IF(CASO!$E$7=0,O60*IF(T60="Constante",R60,(R60+1)/2),O60*IF(T60="Constante",((1-(1/(1+CASO!$E$7))^R60)/(1-(1/(1+CASO!$E$7)))),((1-(1/(1+CASO!$E$7))^R60)/(1-(1/(1+CASO!$E$7))))-(((1/(1+CASO!$E$7))-R60*(1/(1+CASO!$E$7))^R60+(R60-1)*(1/(1+CASO!$E$7))^(R60+1))/(1-(1/(1+CASO!$E$7)))^2)/R60)))))</x:f>
        <x:v>0</x:v>
      </x:c>
      <x:c r="AC60" s="33" t="n">
        <x:f>IF(OR(P60="",S60=""),0,IF(T60="Inmediata",0,IF(S60&lt;=0,0,IF(CASO!$E$8=0,P60*IF(T60="Constante",S60,(S60+1)/2),P60*IF(T60="Constante",((1-(1/(1+CASO!$E$8))^S60)/(1-(1/(1+CASO!$E$8)))),((1-(1/(1+CASO!$E$8))^S60)/(1-(1/(1+CASO!$E$8))))-(((1/(1+CASO!$E$8))-S60*(1/(1+CASO!$E$8))^S60+(S60-1)*(1/(1+CASO!$E$8))^(S60+1))/(1-(1/(1+CASO!$E$8)))^2)/S60)))))</x:f>
        <x:v>0</x:v>
      </x:c>
      <x:c r="AD60" s="32" t="n">
        <x:f>IF(OR(Z60="",Z60="Excluido"),0,H60*K60*AA60)</x:f>
        <x:v>0</x:v>
      </x:c>
      <x:c r="AE60" s="32" t="n">
        <x:f>IF(OR(Z60="",Z60="Excluido"),0,I60*L60*AB60)</x:f>
        <x:v>0</x:v>
      </x:c>
      <x:c r="AF60" s="32" t="n">
        <x:f>IF(OR(Z60="",Z60="Excluido"),0,J60*M60*AC60)</x:f>
        <x:v>0</x:v>
      </x:c>
    </x:row>
    <x:row r="61">
      <x:c r="A61" s="21"/>
      <x:c r="B61" s="21"/>
      <x:c r="C61" s="21"/>
      <x:c r="D61" s="21"/>
      <x:c r="E61" s="21"/>
      <x:c r="F61" s="21"/>
      <x:c r="G61" s="21"/>
      <x:c r="H61" s="31"/>
      <x:c r="I61" s="31"/>
      <x:c r="J61" s="31"/>
      <x:c r="K61" s="31"/>
      <x:c r="L61" s="31"/>
      <x:c r="M61" s="31"/>
      <x:c r="N61" s="24"/>
      <x:c r="O61" s="24"/>
      <x:c r="P61" s="24"/>
      <x:c r="Q61" s="21"/>
      <x:c r="R61" s="21"/>
      <x:c r="S61" s="21"/>
      <x:c r="T61" s="21"/>
      <x:c r="U61" s="21"/>
      <x:c r="V61" s="21"/>
      <x:c r="W61" s="21"/>
      <x:c r="X61" s="21"/>
      <x:c r="Y61" s="21"/>
      <x:c r="Z61" s="30" t="str">
        <x:f>IF(B61="","",IF(OR(U61&lt;&gt;"Sí",V61="X"),"Excluido",IF(OR(V61="D",V61="E",W61="Baja"),"Exploratorio","Principal")))</x:f>
      </x:c>
      <x:c r="AA61" s="33" t="n">
        <x:f>IF(OR(N61="",Q61=""),0,IF(T61="Inmediata",0,IF(Q61&lt;=0,0,IF(CASO!$E$6=0,N61*IF(T61="Constante",Q61,(Q61+1)/2),N61*IF(T61="Constante",((1-(1/(1+CASO!$E$6))^Q61)/(1-(1/(1+CASO!$E$6)))),((1-(1/(1+CASO!$E$6))^Q61)/(1-(1/(1+CASO!$E$6))))-(((1/(1+CASO!$E$6))-Q61*(1/(1+CASO!$E$6))^Q61+(Q61-1)*(1/(1+CASO!$E$6))^(Q61+1))/(1-(1/(1+CASO!$E$6)))^2)/Q61)))))</x:f>
        <x:v>0</x:v>
      </x:c>
      <x:c r="AB61" s="33" t="n">
        <x:f>IF(OR(O61="",R61=""),0,IF(T61="Inmediata",0,IF(R61&lt;=0,0,IF(CASO!$E$7=0,O61*IF(T61="Constante",R61,(R61+1)/2),O61*IF(T61="Constante",((1-(1/(1+CASO!$E$7))^R61)/(1-(1/(1+CASO!$E$7)))),((1-(1/(1+CASO!$E$7))^R61)/(1-(1/(1+CASO!$E$7))))-(((1/(1+CASO!$E$7))-R61*(1/(1+CASO!$E$7))^R61+(R61-1)*(1/(1+CASO!$E$7))^(R61+1))/(1-(1/(1+CASO!$E$7)))^2)/R61)))))</x:f>
        <x:v>0</x:v>
      </x:c>
      <x:c r="AC61" s="33" t="n">
        <x:f>IF(OR(P61="",S61=""),0,IF(T61="Inmediata",0,IF(S61&lt;=0,0,IF(CASO!$E$8=0,P61*IF(T61="Constante",S61,(S61+1)/2),P61*IF(T61="Constante",((1-(1/(1+CASO!$E$8))^S61)/(1-(1/(1+CASO!$E$8)))),((1-(1/(1+CASO!$E$8))^S61)/(1-(1/(1+CASO!$E$8))))-(((1/(1+CASO!$E$8))-S61*(1/(1+CASO!$E$8))^S61+(S61-1)*(1/(1+CASO!$E$8))^(S61+1))/(1-(1/(1+CASO!$E$8)))^2)/S61)))))</x:f>
        <x:v>0</x:v>
      </x:c>
      <x:c r="AD61" s="32" t="n">
        <x:f>IF(OR(Z61="",Z61="Excluido"),0,H61*K61*AA61)</x:f>
        <x:v>0</x:v>
      </x:c>
      <x:c r="AE61" s="32" t="n">
        <x:f>IF(OR(Z61="",Z61="Excluido"),0,I61*L61*AB61)</x:f>
        <x:v>0</x:v>
      </x:c>
      <x:c r="AF61" s="32" t="n">
        <x:f>IF(OR(Z61="",Z61="Excluido"),0,J61*M61*AC61)</x:f>
        <x:v>0</x:v>
      </x:c>
    </x:row>
    <x:row r="62">
      <x:c r="A62" s="21"/>
      <x:c r="B62" s="21"/>
      <x:c r="C62" s="21"/>
      <x:c r="D62" s="21"/>
      <x:c r="E62" s="21"/>
      <x:c r="F62" s="21"/>
      <x:c r="G62" s="21"/>
      <x:c r="H62" s="31"/>
      <x:c r="I62" s="31"/>
      <x:c r="J62" s="31"/>
      <x:c r="K62" s="31"/>
      <x:c r="L62" s="31"/>
      <x:c r="M62" s="31"/>
      <x:c r="N62" s="24"/>
      <x:c r="O62" s="24"/>
      <x:c r="P62" s="24"/>
      <x:c r="Q62" s="21"/>
      <x:c r="R62" s="21"/>
      <x:c r="S62" s="21"/>
      <x:c r="T62" s="21"/>
      <x:c r="U62" s="21"/>
      <x:c r="V62" s="21"/>
      <x:c r="W62" s="21"/>
      <x:c r="X62" s="21"/>
      <x:c r="Y62" s="21"/>
      <x:c r="Z62" s="30" t="str">
        <x:f>IF(B62="","",IF(OR(U62&lt;&gt;"Sí",V62="X"),"Excluido",IF(OR(V62="D",V62="E",W62="Baja"),"Exploratorio","Principal")))</x:f>
      </x:c>
      <x:c r="AA62" s="33" t="n">
        <x:f>IF(OR(N62="",Q62=""),0,IF(T62="Inmediata",0,IF(Q62&lt;=0,0,IF(CASO!$E$6=0,N62*IF(T62="Constante",Q62,(Q62+1)/2),N62*IF(T62="Constante",((1-(1/(1+CASO!$E$6))^Q62)/(1-(1/(1+CASO!$E$6)))),((1-(1/(1+CASO!$E$6))^Q62)/(1-(1/(1+CASO!$E$6))))-(((1/(1+CASO!$E$6))-Q62*(1/(1+CASO!$E$6))^Q62+(Q62-1)*(1/(1+CASO!$E$6))^(Q62+1))/(1-(1/(1+CASO!$E$6)))^2)/Q62)))))</x:f>
        <x:v>0</x:v>
      </x:c>
      <x:c r="AB62" s="33" t="n">
        <x:f>IF(OR(O62="",R62=""),0,IF(T62="Inmediata",0,IF(R62&lt;=0,0,IF(CASO!$E$7=0,O62*IF(T62="Constante",R62,(R62+1)/2),O62*IF(T62="Constante",((1-(1/(1+CASO!$E$7))^R62)/(1-(1/(1+CASO!$E$7)))),((1-(1/(1+CASO!$E$7))^R62)/(1-(1/(1+CASO!$E$7))))-(((1/(1+CASO!$E$7))-R62*(1/(1+CASO!$E$7))^R62+(R62-1)*(1/(1+CASO!$E$7))^(R62+1))/(1-(1/(1+CASO!$E$7)))^2)/R62)))))</x:f>
        <x:v>0</x:v>
      </x:c>
      <x:c r="AC62" s="33" t="n">
        <x:f>IF(OR(P62="",S62=""),0,IF(T62="Inmediata",0,IF(S62&lt;=0,0,IF(CASO!$E$8=0,P62*IF(T62="Constante",S62,(S62+1)/2),P62*IF(T62="Constante",((1-(1/(1+CASO!$E$8))^S62)/(1-(1/(1+CASO!$E$8)))),((1-(1/(1+CASO!$E$8))^S62)/(1-(1/(1+CASO!$E$8))))-(((1/(1+CASO!$E$8))-S62*(1/(1+CASO!$E$8))^S62+(S62-1)*(1/(1+CASO!$E$8))^(S62+1))/(1-(1/(1+CASO!$E$8)))^2)/S62)))))</x:f>
        <x:v>0</x:v>
      </x:c>
      <x:c r="AD62" s="32" t="n">
        <x:f>IF(OR(Z62="",Z62="Excluido"),0,H62*K62*AA62)</x:f>
        <x:v>0</x:v>
      </x:c>
      <x:c r="AE62" s="32" t="n">
        <x:f>IF(OR(Z62="",Z62="Excluido"),0,I62*L62*AB62)</x:f>
        <x:v>0</x:v>
      </x:c>
      <x:c r="AF62" s="32" t="n">
        <x:f>IF(OR(Z62="",Z62="Excluido"),0,J62*M62*AC62)</x:f>
        <x:v>0</x:v>
      </x:c>
    </x:row>
    <x:row r="63">
      <x:c r="A63" s="21"/>
      <x:c r="B63" s="21"/>
      <x:c r="C63" s="21"/>
      <x:c r="D63" s="21"/>
      <x:c r="E63" s="21"/>
      <x:c r="F63" s="21"/>
      <x:c r="G63" s="21"/>
      <x:c r="H63" s="31"/>
      <x:c r="I63" s="31"/>
      <x:c r="J63" s="31"/>
      <x:c r="K63" s="31"/>
      <x:c r="L63" s="31"/>
      <x:c r="M63" s="31"/>
      <x:c r="N63" s="24"/>
      <x:c r="O63" s="24"/>
      <x:c r="P63" s="24"/>
      <x:c r="Q63" s="21"/>
      <x:c r="R63" s="21"/>
      <x:c r="S63" s="21"/>
      <x:c r="T63" s="21"/>
      <x:c r="U63" s="21"/>
      <x:c r="V63" s="21"/>
      <x:c r="W63" s="21"/>
      <x:c r="X63" s="21"/>
      <x:c r="Y63" s="21"/>
      <x:c r="Z63" s="30" t="str">
        <x:f>IF(B63="","",IF(OR(U63&lt;&gt;"Sí",V63="X"),"Excluido",IF(OR(V63="D",V63="E",W63="Baja"),"Exploratorio","Principal")))</x:f>
      </x:c>
      <x:c r="AA63" s="33" t="n">
        <x:f>IF(OR(N63="",Q63=""),0,IF(T63="Inmediata",0,IF(Q63&lt;=0,0,IF(CASO!$E$6=0,N63*IF(T63="Constante",Q63,(Q63+1)/2),N63*IF(T63="Constante",((1-(1/(1+CASO!$E$6))^Q63)/(1-(1/(1+CASO!$E$6)))),((1-(1/(1+CASO!$E$6))^Q63)/(1-(1/(1+CASO!$E$6))))-(((1/(1+CASO!$E$6))-Q63*(1/(1+CASO!$E$6))^Q63+(Q63-1)*(1/(1+CASO!$E$6))^(Q63+1))/(1-(1/(1+CASO!$E$6)))^2)/Q63)))))</x:f>
        <x:v>0</x:v>
      </x:c>
      <x:c r="AB63" s="33" t="n">
        <x:f>IF(OR(O63="",R63=""),0,IF(T63="Inmediata",0,IF(R63&lt;=0,0,IF(CASO!$E$7=0,O63*IF(T63="Constante",R63,(R63+1)/2),O63*IF(T63="Constante",((1-(1/(1+CASO!$E$7))^R63)/(1-(1/(1+CASO!$E$7)))),((1-(1/(1+CASO!$E$7))^R63)/(1-(1/(1+CASO!$E$7))))-(((1/(1+CASO!$E$7))-R63*(1/(1+CASO!$E$7))^R63+(R63-1)*(1/(1+CASO!$E$7))^(R63+1))/(1-(1/(1+CASO!$E$7)))^2)/R63)))))</x:f>
        <x:v>0</x:v>
      </x:c>
      <x:c r="AC63" s="33" t="n">
        <x:f>IF(OR(P63="",S63=""),0,IF(T63="Inmediata",0,IF(S63&lt;=0,0,IF(CASO!$E$8=0,P63*IF(T63="Constante",S63,(S63+1)/2),P63*IF(T63="Constante",((1-(1/(1+CASO!$E$8))^S63)/(1-(1/(1+CASO!$E$8)))),((1-(1/(1+CASO!$E$8))^S63)/(1-(1/(1+CASO!$E$8))))-(((1/(1+CASO!$E$8))-S63*(1/(1+CASO!$E$8))^S63+(S63-1)*(1/(1+CASO!$E$8))^(S63+1))/(1-(1/(1+CASO!$E$8)))^2)/S63)))))</x:f>
        <x:v>0</x:v>
      </x:c>
      <x:c r="AD63" s="32" t="n">
        <x:f>IF(OR(Z63="",Z63="Excluido"),0,H63*K63*AA63)</x:f>
        <x:v>0</x:v>
      </x:c>
      <x:c r="AE63" s="32" t="n">
        <x:f>IF(OR(Z63="",Z63="Excluido"),0,I63*L63*AB63)</x:f>
        <x:v>0</x:v>
      </x:c>
      <x:c r="AF63" s="32" t="n">
        <x:f>IF(OR(Z63="",Z63="Excluido"),0,J63*M63*AC63)</x:f>
        <x:v>0</x:v>
      </x:c>
    </x:row>
    <x:row r="64">
      <x:c r="A64" s="21"/>
      <x:c r="B64" s="21"/>
      <x:c r="C64" s="21"/>
      <x:c r="D64" s="21"/>
      <x:c r="E64" s="21"/>
      <x:c r="F64" s="21"/>
      <x:c r="G64" s="21"/>
      <x:c r="H64" s="31"/>
      <x:c r="I64" s="31"/>
      <x:c r="J64" s="31"/>
      <x:c r="K64" s="31"/>
      <x:c r="L64" s="31"/>
      <x:c r="M64" s="31"/>
      <x:c r="N64" s="24"/>
      <x:c r="O64" s="24"/>
      <x:c r="P64" s="24"/>
      <x:c r="Q64" s="21"/>
      <x:c r="R64" s="21"/>
      <x:c r="S64" s="21"/>
      <x:c r="T64" s="21"/>
      <x:c r="U64" s="21"/>
      <x:c r="V64" s="21"/>
      <x:c r="W64" s="21"/>
      <x:c r="X64" s="21"/>
      <x:c r="Y64" s="21"/>
      <x:c r="Z64" s="30" t="str">
        <x:f>IF(B64="","",IF(OR(U64&lt;&gt;"Sí",V64="X"),"Excluido",IF(OR(V64="D",V64="E",W64="Baja"),"Exploratorio","Principal")))</x:f>
      </x:c>
      <x:c r="AA64" s="33" t="n">
        <x:f>IF(OR(N64="",Q64=""),0,IF(T64="Inmediata",0,IF(Q64&lt;=0,0,IF(CASO!$E$6=0,N64*IF(T64="Constante",Q64,(Q64+1)/2),N64*IF(T64="Constante",((1-(1/(1+CASO!$E$6))^Q64)/(1-(1/(1+CASO!$E$6)))),((1-(1/(1+CASO!$E$6))^Q64)/(1-(1/(1+CASO!$E$6))))-(((1/(1+CASO!$E$6))-Q64*(1/(1+CASO!$E$6))^Q64+(Q64-1)*(1/(1+CASO!$E$6))^(Q64+1))/(1-(1/(1+CASO!$E$6)))^2)/Q64)))))</x:f>
        <x:v>0</x:v>
      </x:c>
      <x:c r="AB64" s="33" t="n">
        <x:f>IF(OR(O64="",R64=""),0,IF(T64="Inmediata",0,IF(R64&lt;=0,0,IF(CASO!$E$7=0,O64*IF(T64="Constante",R64,(R64+1)/2),O64*IF(T64="Constante",((1-(1/(1+CASO!$E$7))^R64)/(1-(1/(1+CASO!$E$7)))),((1-(1/(1+CASO!$E$7))^R64)/(1-(1/(1+CASO!$E$7))))-(((1/(1+CASO!$E$7))-R64*(1/(1+CASO!$E$7))^R64+(R64-1)*(1/(1+CASO!$E$7))^(R64+1))/(1-(1/(1+CASO!$E$7)))^2)/R64)))))</x:f>
        <x:v>0</x:v>
      </x:c>
      <x:c r="AC64" s="33" t="n">
        <x:f>IF(OR(P64="",S64=""),0,IF(T64="Inmediata",0,IF(S64&lt;=0,0,IF(CASO!$E$8=0,P64*IF(T64="Constante",S64,(S64+1)/2),P64*IF(T64="Constante",((1-(1/(1+CASO!$E$8))^S64)/(1-(1/(1+CASO!$E$8)))),((1-(1/(1+CASO!$E$8))^S64)/(1-(1/(1+CASO!$E$8))))-(((1/(1+CASO!$E$8))-S64*(1/(1+CASO!$E$8))^S64+(S64-1)*(1/(1+CASO!$E$8))^(S64+1))/(1-(1/(1+CASO!$E$8)))^2)/S64)))))</x:f>
        <x:v>0</x:v>
      </x:c>
      <x:c r="AD64" s="32" t="n">
        <x:f>IF(OR(Z64="",Z64="Excluido"),0,H64*K64*AA64)</x:f>
        <x:v>0</x:v>
      </x:c>
      <x:c r="AE64" s="32" t="n">
        <x:f>IF(OR(Z64="",Z64="Excluido"),0,I64*L64*AB64)</x:f>
        <x:v>0</x:v>
      </x:c>
      <x:c r="AF64" s="32" t="n">
        <x:f>IF(OR(Z64="",Z64="Excluido"),0,J64*M64*AC64)</x:f>
        <x:v>0</x:v>
      </x:c>
    </x:row>
    <x:row r="65">
      <x:c r="A65" s="21"/>
      <x:c r="B65" s="21"/>
      <x:c r="C65" s="21"/>
      <x:c r="D65" s="21"/>
      <x:c r="E65" s="21"/>
      <x:c r="F65" s="21"/>
      <x:c r="G65" s="21"/>
      <x:c r="H65" s="31"/>
      <x:c r="I65" s="31"/>
      <x:c r="J65" s="31"/>
      <x:c r="K65" s="31"/>
      <x:c r="L65" s="31"/>
      <x:c r="M65" s="31"/>
      <x:c r="N65" s="24"/>
      <x:c r="O65" s="24"/>
      <x:c r="P65" s="24"/>
      <x:c r="Q65" s="21"/>
      <x:c r="R65" s="21"/>
      <x:c r="S65" s="21"/>
      <x:c r="T65" s="21"/>
      <x:c r="U65" s="21"/>
      <x:c r="V65" s="21"/>
      <x:c r="W65" s="21"/>
      <x:c r="X65" s="21"/>
      <x:c r="Y65" s="21"/>
      <x:c r="Z65" s="30" t="str">
        <x:f>IF(B65="","",IF(OR(U65&lt;&gt;"Sí",V65="X"),"Excluido",IF(OR(V65="D",V65="E",W65="Baja"),"Exploratorio","Principal")))</x:f>
      </x:c>
      <x:c r="AA65" s="33" t="n">
        <x:f>IF(OR(N65="",Q65=""),0,IF(T65="Inmediata",0,IF(Q65&lt;=0,0,IF(CASO!$E$6=0,N65*IF(T65="Constante",Q65,(Q65+1)/2),N65*IF(T65="Constante",((1-(1/(1+CASO!$E$6))^Q65)/(1-(1/(1+CASO!$E$6)))),((1-(1/(1+CASO!$E$6))^Q65)/(1-(1/(1+CASO!$E$6))))-(((1/(1+CASO!$E$6))-Q65*(1/(1+CASO!$E$6))^Q65+(Q65-1)*(1/(1+CASO!$E$6))^(Q65+1))/(1-(1/(1+CASO!$E$6)))^2)/Q65)))))</x:f>
        <x:v>0</x:v>
      </x:c>
      <x:c r="AB65" s="33" t="n">
        <x:f>IF(OR(O65="",R65=""),0,IF(T65="Inmediata",0,IF(R65&lt;=0,0,IF(CASO!$E$7=0,O65*IF(T65="Constante",R65,(R65+1)/2),O65*IF(T65="Constante",((1-(1/(1+CASO!$E$7))^R65)/(1-(1/(1+CASO!$E$7)))),((1-(1/(1+CASO!$E$7))^R65)/(1-(1/(1+CASO!$E$7))))-(((1/(1+CASO!$E$7))-R65*(1/(1+CASO!$E$7))^R65+(R65-1)*(1/(1+CASO!$E$7))^(R65+1))/(1-(1/(1+CASO!$E$7)))^2)/R65)))))</x:f>
        <x:v>0</x:v>
      </x:c>
      <x:c r="AC65" s="33" t="n">
        <x:f>IF(OR(P65="",S65=""),0,IF(T65="Inmediata",0,IF(S65&lt;=0,0,IF(CASO!$E$8=0,P65*IF(T65="Constante",S65,(S65+1)/2),P65*IF(T65="Constante",((1-(1/(1+CASO!$E$8))^S65)/(1-(1/(1+CASO!$E$8)))),((1-(1/(1+CASO!$E$8))^S65)/(1-(1/(1+CASO!$E$8))))-(((1/(1+CASO!$E$8))-S65*(1/(1+CASO!$E$8))^S65+(S65-1)*(1/(1+CASO!$E$8))^(S65+1))/(1-(1/(1+CASO!$E$8)))^2)/S65)))))</x:f>
        <x:v>0</x:v>
      </x:c>
      <x:c r="AD65" s="32" t="n">
        <x:f>IF(OR(Z65="",Z65="Excluido"),0,H65*K65*AA65)</x:f>
        <x:v>0</x:v>
      </x:c>
      <x:c r="AE65" s="32" t="n">
        <x:f>IF(OR(Z65="",Z65="Excluido"),0,I65*L65*AB65)</x:f>
        <x:v>0</x:v>
      </x:c>
      <x:c r="AF65" s="32" t="n">
        <x:f>IF(OR(Z65="",Z65="Excluido"),0,J65*M65*AC65)</x:f>
        <x:v>0</x:v>
      </x:c>
    </x:row>
    <x:row r="66">
      <x:c r="A66" s="21"/>
      <x:c r="B66" s="21"/>
      <x:c r="C66" s="21"/>
      <x:c r="D66" s="21"/>
      <x:c r="E66" s="21"/>
      <x:c r="F66" s="21"/>
      <x:c r="G66" s="21"/>
      <x:c r="H66" s="31"/>
      <x:c r="I66" s="31"/>
      <x:c r="J66" s="31"/>
      <x:c r="K66" s="31"/>
      <x:c r="L66" s="31"/>
      <x:c r="M66" s="31"/>
      <x:c r="N66" s="24"/>
      <x:c r="O66" s="24"/>
      <x:c r="P66" s="24"/>
      <x:c r="Q66" s="21"/>
      <x:c r="R66" s="21"/>
      <x:c r="S66" s="21"/>
      <x:c r="T66" s="21"/>
      <x:c r="U66" s="21"/>
      <x:c r="V66" s="21"/>
      <x:c r="W66" s="21"/>
      <x:c r="X66" s="21"/>
      <x:c r="Y66" s="21"/>
      <x:c r="Z66" s="30" t="str">
        <x:f>IF(B66="","",IF(OR(U66&lt;&gt;"Sí",V66="X"),"Excluido",IF(OR(V66="D",V66="E",W66="Baja"),"Exploratorio","Principal")))</x:f>
      </x:c>
      <x:c r="AA66" s="33" t="n">
        <x:f>IF(OR(N66="",Q66=""),0,IF(T66="Inmediata",0,IF(Q66&lt;=0,0,IF(CASO!$E$6=0,N66*IF(T66="Constante",Q66,(Q66+1)/2),N66*IF(T66="Constante",((1-(1/(1+CASO!$E$6))^Q66)/(1-(1/(1+CASO!$E$6)))),((1-(1/(1+CASO!$E$6))^Q66)/(1-(1/(1+CASO!$E$6))))-(((1/(1+CASO!$E$6))-Q66*(1/(1+CASO!$E$6))^Q66+(Q66-1)*(1/(1+CASO!$E$6))^(Q66+1))/(1-(1/(1+CASO!$E$6)))^2)/Q66)))))</x:f>
        <x:v>0</x:v>
      </x:c>
      <x:c r="AB66" s="33" t="n">
        <x:f>IF(OR(O66="",R66=""),0,IF(T66="Inmediata",0,IF(R66&lt;=0,0,IF(CASO!$E$7=0,O66*IF(T66="Constante",R66,(R66+1)/2),O66*IF(T66="Constante",((1-(1/(1+CASO!$E$7))^R66)/(1-(1/(1+CASO!$E$7)))),((1-(1/(1+CASO!$E$7))^R66)/(1-(1/(1+CASO!$E$7))))-(((1/(1+CASO!$E$7))-R66*(1/(1+CASO!$E$7))^R66+(R66-1)*(1/(1+CASO!$E$7))^(R66+1))/(1-(1/(1+CASO!$E$7)))^2)/R66)))))</x:f>
        <x:v>0</x:v>
      </x:c>
      <x:c r="AC66" s="33" t="n">
        <x:f>IF(OR(P66="",S66=""),0,IF(T66="Inmediata",0,IF(S66&lt;=0,0,IF(CASO!$E$8=0,P66*IF(T66="Constante",S66,(S66+1)/2),P66*IF(T66="Constante",((1-(1/(1+CASO!$E$8))^S66)/(1-(1/(1+CASO!$E$8)))),((1-(1/(1+CASO!$E$8))^S66)/(1-(1/(1+CASO!$E$8))))-(((1/(1+CASO!$E$8))-S66*(1/(1+CASO!$E$8))^S66+(S66-1)*(1/(1+CASO!$E$8))^(S66+1))/(1-(1/(1+CASO!$E$8)))^2)/S66)))))</x:f>
        <x:v>0</x:v>
      </x:c>
      <x:c r="AD66" s="32" t="n">
        <x:f>IF(OR(Z66="",Z66="Excluido"),0,H66*K66*AA66)</x:f>
        <x:v>0</x:v>
      </x:c>
      <x:c r="AE66" s="32" t="n">
        <x:f>IF(OR(Z66="",Z66="Excluido"),0,I66*L66*AB66)</x:f>
        <x:v>0</x:v>
      </x:c>
      <x:c r="AF66" s="32" t="n">
        <x:f>IF(OR(Z66="",Z66="Excluido"),0,J66*M66*AC66)</x:f>
        <x:v>0</x:v>
      </x:c>
    </x:row>
    <x:row r="67">
      <x:c r="A67" s="21"/>
      <x:c r="B67" s="21"/>
      <x:c r="C67" s="21"/>
      <x:c r="D67" s="21"/>
      <x:c r="E67" s="21"/>
      <x:c r="F67" s="21"/>
      <x:c r="G67" s="21"/>
      <x:c r="H67" s="31"/>
      <x:c r="I67" s="31"/>
      <x:c r="J67" s="31"/>
      <x:c r="K67" s="31"/>
      <x:c r="L67" s="31"/>
      <x:c r="M67" s="31"/>
      <x:c r="N67" s="24"/>
      <x:c r="O67" s="24"/>
      <x:c r="P67" s="24"/>
      <x:c r="Q67" s="21"/>
      <x:c r="R67" s="21"/>
      <x:c r="S67" s="21"/>
      <x:c r="T67" s="21"/>
      <x:c r="U67" s="21"/>
      <x:c r="V67" s="21"/>
      <x:c r="W67" s="21"/>
      <x:c r="X67" s="21"/>
      <x:c r="Y67" s="21"/>
      <x:c r="Z67" s="30" t="str">
        <x:f>IF(B67="","",IF(OR(U67&lt;&gt;"Sí",V67="X"),"Excluido",IF(OR(V67="D",V67="E",W67="Baja"),"Exploratorio","Principal")))</x:f>
      </x:c>
      <x:c r="AA67" s="33" t="n">
        <x:f>IF(OR(N67="",Q67=""),0,IF(T67="Inmediata",0,IF(Q67&lt;=0,0,IF(CASO!$E$6=0,N67*IF(T67="Constante",Q67,(Q67+1)/2),N67*IF(T67="Constante",((1-(1/(1+CASO!$E$6))^Q67)/(1-(1/(1+CASO!$E$6)))),((1-(1/(1+CASO!$E$6))^Q67)/(1-(1/(1+CASO!$E$6))))-(((1/(1+CASO!$E$6))-Q67*(1/(1+CASO!$E$6))^Q67+(Q67-1)*(1/(1+CASO!$E$6))^(Q67+1))/(1-(1/(1+CASO!$E$6)))^2)/Q67)))))</x:f>
        <x:v>0</x:v>
      </x:c>
      <x:c r="AB67" s="33" t="n">
        <x:f>IF(OR(O67="",R67=""),0,IF(T67="Inmediata",0,IF(R67&lt;=0,0,IF(CASO!$E$7=0,O67*IF(T67="Constante",R67,(R67+1)/2),O67*IF(T67="Constante",((1-(1/(1+CASO!$E$7))^R67)/(1-(1/(1+CASO!$E$7)))),((1-(1/(1+CASO!$E$7))^R67)/(1-(1/(1+CASO!$E$7))))-(((1/(1+CASO!$E$7))-R67*(1/(1+CASO!$E$7))^R67+(R67-1)*(1/(1+CASO!$E$7))^(R67+1))/(1-(1/(1+CASO!$E$7)))^2)/R67)))))</x:f>
        <x:v>0</x:v>
      </x:c>
      <x:c r="AC67" s="33" t="n">
        <x:f>IF(OR(P67="",S67=""),0,IF(T67="Inmediata",0,IF(S67&lt;=0,0,IF(CASO!$E$8=0,P67*IF(T67="Constante",S67,(S67+1)/2),P67*IF(T67="Constante",((1-(1/(1+CASO!$E$8))^S67)/(1-(1/(1+CASO!$E$8)))),((1-(1/(1+CASO!$E$8))^S67)/(1-(1/(1+CASO!$E$8))))-(((1/(1+CASO!$E$8))-S67*(1/(1+CASO!$E$8))^S67+(S67-1)*(1/(1+CASO!$E$8))^(S67+1))/(1-(1/(1+CASO!$E$8)))^2)/S67)))))</x:f>
        <x:v>0</x:v>
      </x:c>
      <x:c r="AD67" s="32" t="n">
        <x:f>IF(OR(Z67="",Z67="Excluido"),0,H67*K67*AA67)</x:f>
        <x:v>0</x:v>
      </x:c>
      <x:c r="AE67" s="32" t="n">
        <x:f>IF(OR(Z67="",Z67="Excluido"),0,I67*L67*AB67)</x:f>
        <x:v>0</x:v>
      </x:c>
      <x:c r="AF67" s="32" t="n">
        <x:f>IF(OR(Z67="",Z67="Excluido"),0,J67*M67*AC67)</x:f>
        <x:v>0</x:v>
      </x:c>
    </x:row>
    <x:row r="68">
      <x:c r="A68" s="21"/>
      <x:c r="B68" s="21"/>
      <x:c r="C68" s="21"/>
      <x:c r="D68" s="21"/>
      <x:c r="E68" s="21"/>
      <x:c r="F68" s="21"/>
      <x:c r="G68" s="21"/>
      <x:c r="H68" s="31"/>
      <x:c r="I68" s="31"/>
      <x:c r="J68" s="31"/>
      <x:c r="K68" s="31"/>
      <x:c r="L68" s="31"/>
      <x:c r="M68" s="31"/>
      <x:c r="N68" s="24"/>
      <x:c r="O68" s="24"/>
      <x:c r="P68" s="24"/>
      <x:c r="Q68" s="21"/>
      <x:c r="R68" s="21"/>
      <x:c r="S68" s="21"/>
      <x:c r="T68" s="21"/>
      <x:c r="U68" s="21"/>
      <x:c r="V68" s="21"/>
      <x:c r="W68" s="21"/>
      <x:c r="X68" s="21"/>
      <x:c r="Y68" s="21"/>
      <x:c r="Z68" s="30" t="str">
        <x:f>IF(B68="","",IF(OR(U68&lt;&gt;"Sí",V68="X"),"Excluido",IF(OR(V68="D",V68="E",W68="Baja"),"Exploratorio","Principal")))</x:f>
      </x:c>
      <x:c r="AA68" s="33" t="n">
        <x:f>IF(OR(N68="",Q68=""),0,IF(T68="Inmediata",0,IF(Q68&lt;=0,0,IF(CASO!$E$6=0,N68*IF(T68="Constante",Q68,(Q68+1)/2),N68*IF(T68="Constante",((1-(1/(1+CASO!$E$6))^Q68)/(1-(1/(1+CASO!$E$6)))),((1-(1/(1+CASO!$E$6))^Q68)/(1-(1/(1+CASO!$E$6))))-(((1/(1+CASO!$E$6))-Q68*(1/(1+CASO!$E$6))^Q68+(Q68-1)*(1/(1+CASO!$E$6))^(Q68+1))/(1-(1/(1+CASO!$E$6)))^2)/Q68)))))</x:f>
        <x:v>0</x:v>
      </x:c>
      <x:c r="AB68" s="33" t="n">
        <x:f>IF(OR(O68="",R68=""),0,IF(T68="Inmediata",0,IF(R68&lt;=0,0,IF(CASO!$E$7=0,O68*IF(T68="Constante",R68,(R68+1)/2),O68*IF(T68="Constante",((1-(1/(1+CASO!$E$7))^R68)/(1-(1/(1+CASO!$E$7)))),((1-(1/(1+CASO!$E$7))^R68)/(1-(1/(1+CASO!$E$7))))-(((1/(1+CASO!$E$7))-R68*(1/(1+CASO!$E$7))^R68+(R68-1)*(1/(1+CASO!$E$7))^(R68+1))/(1-(1/(1+CASO!$E$7)))^2)/R68)))))</x:f>
        <x:v>0</x:v>
      </x:c>
      <x:c r="AC68" s="33" t="n">
        <x:f>IF(OR(P68="",S68=""),0,IF(T68="Inmediata",0,IF(S68&lt;=0,0,IF(CASO!$E$8=0,P68*IF(T68="Constante",S68,(S68+1)/2),P68*IF(T68="Constante",((1-(1/(1+CASO!$E$8))^S68)/(1-(1/(1+CASO!$E$8)))),((1-(1/(1+CASO!$E$8))^S68)/(1-(1/(1+CASO!$E$8))))-(((1/(1+CASO!$E$8))-S68*(1/(1+CASO!$E$8))^S68+(S68-1)*(1/(1+CASO!$E$8))^(S68+1))/(1-(1/(1+CASO!$E$8)))^2)/S68)))))</x:f>
        <x:v>0</x:v>
      </x:c>
      <x:c r="AD68" s="32" t="n">
        <x:f>IF(OR(Z68="",Z68="Excluido"),0,H68*K68*AA68)</x:f>
        <x:v>0</x:v>
      </x:c>
      <x:c r="AE68" s="32" t="n">
        <x:f>IF(OR(Z68="",Z68="Excluido"),0,I68*L68*AB68)</x:f>
        <x:v>0</x:v>
      </x:c>
      <x:c r="AF68" s="32" t="n">
        <x:f>IF(OR(Z68="",Z68="Excluido"),0,J68*M68*AC68)</x:f>
        <x:v>0</x:v>
      </x:c>
    </x:row>
    <x:row r="69">
      <x:c r="A69" s="21"/>
      <x:c r="B69" s="21"/>
      <x:c r="C69" s="21"/>
      <x:c r="D69" s="21"/>
      <x:c r="E69" s="21"/>
      <x:c r="F69" s="21"/>
      <x:c r="G69" s="21"/>
      <x:c r="H69" s="31"/>
      <x:c r="I69" s="31"/>
      <x:c r="J69" s="31"/>
      <x:c r="K69" s="31"/>
      <x:c r="L69" s="31"/>
      <x:c r="M69" s="31"/>
      <x:c r="N69" s="24"/>
      <x:c r="O69" s="24"/>
      <x:c r="P69" s="24"/>
      <x:c r="Q69" s="21"/>
      <x:c r="R69" s="21"/>
      <x:c r="S69" s="21"/>
      <x:c r="T69" s="21"/>
      <x:c r="U69" s="21"/>
      <x:c r="V69" s="21"/>
      <x:c r="W69" s="21"/>
      <x:c r="X69" s="21"/>
      <x:c r="Y69" s="21"/>
      <x:c r="Z69" s="30" t="str">
        <x:f>IF(B69="","",IF(OR(U69&lt;&gt;"Sí",V69="X"),"Excluido",IF(OR(V69="D",V69="E",W69="Baja"),"Exploratorio","Principal")))</x:f>
      </x:c>
      <x:c r="AA69" s="33" t="n">
        <x:f>IF(OR(N69="",Q69=""),0,IF(T69="Inmediata",0,IF(Q69&lt;=0,0,IF(CASO!$E$6=0,N69*IF(T69="Constante",Q69,(Q69+1)/2),N69*IF(T69="Constante",((1-(1/(1+CASO!$E$6))^Q69)/(1-(1/(1+CASO!$E$6)))),((1-(1/(1+CASO!$E$6))^Q69)/(1-(1/(1+CASO!$E$6))))-(((1/(1+CASO!$E$6))-Q69*(1/(1+CASO!$E$6))^Q69+(Q69-1)*(1/(1+CASO!$E$6))^(Q69+1))/(1-(1/(1+CASO!$E$6)))^2)/Q69)))))</x:f>
        <x:v>0</x:v>
      </x:c>
      <x:c r="AB69" s="33" t="n">
        <x:f>IF(OR(O69="",R69=""),0,IF(T69="Inmediata",0,IF(R69&lt;=0,0,IF(CASO!$E$7=0,O69*IF(T69="Constante",R69,(R69+1)/2),O69*IF(T69="Constante",((1-(1/(1+CASO!$E$7))^R69)/(1-(1/(1+CASO!$E$7)))),((1-(1/(1+CASO!$E$7))^R69)/(1-(1/(1+CASO!$E$7))))-(((1/(1+CASO!$E$7))-R69*(1/(1+CASO!$E$7))^R69+(R69-1)*(1/(1+CASO!$E$7))^(R69+1))/(1-(1/(1+CASO!$E$7)))^2)/R69)))))</x:f>
        <x:v>0</x:v>
      </x:c>
      <x:c r="AC69" s="33" t="n">
        <x:f>IF(OR(P69="",S69=""),0,IF(T69="Inmediata",0,IF(S69&lt;=0,0,IF(CASO!$E$8=0,P69*IF(T69="Constante",S69,(S69+1)/2),P69*IF(T69="Constante",((1-(1/(1+CASO!$E$8))^S69)/(1-(1/(1+CASO!$E$8)))),((1-(1/(1+CASO!$E$8))^S69)/(1-(1/(1+CASO!$E$8))))-(((1/(1+CASO!$E$8))-S69*(1/(1+CASO!$E$8))^S69+(S69-1)*(1/(1+CASO!$E$8))^(S69+1))/(1-(1/(1+CASO!$E$8)))^2)/S69)))))</x:f>
        <x:v>0</x:v>
      </x:c>
      <x:c r="AD69" s="32" t="n">
        <x:f>IF(OR(Z69="",Z69="Excluido"),0,H69*K69*AA69)</x:f>
        <x:v>0</x:v>
      </x:c>
      <x:c r="AE69" s="32" t="n">
        <x:f>IF(OR(Z69="",Z69="Excluido"),0,I69*L69*AB69)</x:f>
        <x:v>0</x:v>
      </x:c>
      <x:c r="AF69" s="32" t="n">
        <x:f>IF(OR(Z69="",Z69="Excluido"),0,J69*M69*AC69)</x:f>
        <x:v>0</x:v>
      </x:c>
    </x:row>
    <x:row r="70">
      <x:c r="A70" s="21"/>
      <x:c r="B70" s="21"/>
      <x:c r="C70" s="21"/>
      <x:c r="D70" s="21"/>
      <x:c r="E70" s="21"/>
      <x:c r="F70" s="21"/>
      <x:c r="G70" s="21"/>
      <x:c r="H70" s="31"/>
      <x:c r="I70" s="31"/>
      <x:c r="J70" s="31"/>
      <x:c r="K70" s="31"/>
      <x:c r="L70" s="31"/>
      <x:c r="M70" s="31"/>
      <x:c r="N70" s="24"/>
      <x:c r="O70" s="24"/>
      <x:c r="P70" s="24"/>
      <x:c r="Q70" s="21"/>
      <x:c r="R70" s="21"/>
      <x:c r="S70" s="21"/>
      <x:c r="T70" s="21"/>
      <x:c r="U70" s="21"/>
      <x:c r="V70" s="21"/>
      <x:c r="W70" s="21"/>
      <x:c r="X70" s="21"/>
      <x:c r="Y70" s="21"/>
      <x:c r="Z70" s="30" t="str">
        <x:f>IF(B70="","",IF(OR(U70&lt;&gt;"Sí",V70="X"),"Excluido",IF(OR(V70="D",V70="E",W70="Baja"),"Exploratorio","Principal")))</x:f>
      </x:c>
      <x:c r="AA70" s="33" t="n">
        <x:f>IF(OR(N70="",Q70=""),0,IF(T70="Inmediata",0,IF(Q70&lt;=0,0,IF(CASO!$E$6=0,N70*IF(T70="Constante",Q70,(Q70+1)/2),N70*IF(T70="Constante",((1-(1/(1+CASO!$E$6))^Q70)/(1-(1/(1+CASO!$E$6)))),((1-(1/(1+CASO!$E$6))^Q70)/(1-(1/(1+CASO!$E$6))))-(((1/(1+CASO!$E$6))-Q70*(1/(1+CASO!$E$6))^Q70+(Q70-1)*(1/(1+CASO!$E$6))^(Q70+1))/(1-(1/(1+CASO!$E$6)))^2)/Q70)))))</x:f>
        <x:v>0</x:v>
      </x:c>
      <x:c r="AB70" s="33" t="n">
        <x:f>IF(OR(O70="",R70=""),0,IF(T70="Inmediata",0,IF(R70&lt;=0,0,IF(CASO!$E$7=0,O70*IF(T70="Constante",R70,(R70+1)/2),O70*IF(T70="Constante",((1-(1/(1+CASO!$E$7))^R70)/(1-(1/(1+CASO!$E$7)))),((1-(1/(1+CASO!$E$7))^R70)/(1-(1/(1+CASO!$E$7))))-(((1/(1+CASO!$E$7))-R70*(1/(1+CASO!$E$7))^R70+(R70-1)*(1/(1+CASO!$E$7))^(R70+1))/(1-(1/(1+CASO!$E$7)))^2)/R70)))))</x:f>
        <x:v>0</x:v>
      </x:c>
      <x:c r="AC70" s="33" t="n">
        <x:f>IF(OR(P70="",S70=""),0,IF(T70="Inmediata",0,IF(S70&lt;=0,0,IF(CASO!$E$8=0,P70*IF(T70="Constante",S70,(S70+1)/2),P70*IF(T70="Constante",((1-(1/(1+CASO!$E$8))^S70)/(1-(1/(1+CASO!$E$8)))),((1-(1/(1+CASO!$E$8))^S70)/(1-(1/(1+CASO!$E$8))))-(((1/(1+CASO!$E$8))-S70*(1/(1+CASO!$E$8))^S70+(S70-1)*(1/(1+CASO!$E$8))^(S70+1))/(1-(1/(1+CASO!$E$8)))^2)/S70)))))</x:f>
        <x:v>0</x:v>
      </x:c>
      <x:c r="AD70" s="32" t="n">
        <x:f>IF(OR(Z70="",Z70="Excluido"),0,H70*K70*AA70)</x:f>
        <x:v>0</x:v>
      </x:c>
      <x:c r="AE70" s="32" t="n">
        <x:f>IF(OR(Z70="",Z70="Excluido"),0,I70*L70*AB70)</x:f>
        <x:v>0</x:v>
      </x:c>
      <x:c r="AF70" s="32" t="n">
        <x:f>IF(OR(Z70="",Z70="Excluido"),0,J70*M70*AC70)</x:f>
        <x:v>0</x:v>
      </x:c>
    </x:row>
    <x:row r="71">
      <x:c r="A71" s="21"/>
      <x:c r="B71" s="21"/>
      <x:c r="C71" s="21"/>
      <x:c r="D71" s="21"/>
      <x:c r="E71" s="21"/>
      <x:c r="F71" s="21"/>
      <x:c r="G71" s="21"/>
      <x:c r="H71" s="31"/>
      <x:c r="I71" s="31"/>
      <x:c r="J71" s="31"/>
      <x:c r="K71" s="31"/>
      <x:c r="L71" s="31"/>
      <x:c r="M71" s="31"/>
      <x:c r="N71" s="24"/>
      <x:c r="O71" s="24"/>
      <x:c r="P71" s="24"/>
      <x:c r="Q71" s="21"/>
      <x:c r="R71" s="21"/>
      <x:c r="S71" s="21"/>
      <x:c r="T71" s="21"/>
      <x:c r="U71" s="21"/>
      <x:c r="V71" s="21"/>
      <x:c r="W71" s="21"/>
      <x:c r="X71" s="21"/>
      <x:c r="Y71" s="21"/>
      <x:c r="Z71" s="30" t="str">
        <x:f>IF(B71="","",IF(OR(U71&lt;&gt;"Sí",V71="X"),"Excluido",IF(OR(V71="D",V71="E",W71="Baja"),"Exploratorio","Principal")))</x:f>
      </x:c>
      <x:c r="AA71" s="33" t="n">
        <x:f>IF(OR(N71="",Q71=""),0,IF(T71="Inmediata",0,IF(Q71&lt;=0,0,IF(CASO!$E$6=0,N71*IF(T71="Constante",Q71,(Q71+1)/2),N71*IF(T71="Constante",((1-(1/(1+CASO!$E$6))^Q71)/(1-(1/(1+CASO!$E$6)))),((1-(1/(1+CASO!$E$6))^Q71)/(1-(1/(1+CASO!$E$6))))-(((1/(1+CASO!$E$6))-Q71*(1/(1+CASO!$E$6))^Q71+(Q71-1)*(1/(1+CASO!$E$6))^(Q71+1))/(1-(1/(1+CASO!$E$6)))^2)/Q71)))))</x:f>
        <x:v>0</x:v>
      </x:c>
      <x:c r="AB71" s="33" t="n">
        <x:f>IF(OR(O71="",R71=""),0,IF(T71="Inmediata",0,IF(R71&lt;=0,0,IF(CASO!$E$7=0,O71*IF(T71="Constante",R71,(R71+1)/2),O71*IF(T71="Constante",((1-(1/(1+CASO!$E$7))^R71)/(1-(1/(1+CASO!$E$7)))),((1-(1/(1+CASO!$E$7))^R71)/(1-(1/(1+CASO!$E$7))))-(((1/(1+CASO!$E$7))-R71*(1/(1+CASO!$E$7))^R71+(R71-1)*(1/(1+CASO!$E$7))^(R71+1))/(1-(1/(1+CASO!$E$7)))^2)/R71)))))</x:f>
        <x:v>0</x:v>
      </x:c>
      <x:c r="AC71" s="33" t="n">
        <x:f>IF(OR(P71="",S71=""),0,IF(T71="Inmediata",0,IF(S71&lt;=0,0,IF(CASO!$E$8=0,P71*IF(T71="Constante",S71,(S71+1)/2),P71*IF(T71="Constante",((1-(1/(1+CASO!$E$8))^S71)/(1-(1/(1+CASO!$E$8)))),((1-(1/(1+CASO!$E$8))^S71)/(1-(1/(1+CASO!$E$8))))-(((1/(1+CASO!$E$8))-S71*(1/(1+CASO!$E$8))^S71+(S71-1)*(1/(1+CASO!$E$8))^(S71+1))/(1-(1/(1+CASO!$E$8)))^2)/S71)))))</x:f>
        <x:v>0</x:v>
      </x:c>
      <x:c r="AD71" s="32" t="n">
        <x:f>IF(OR(Z71="",Z71="Excluido"),0,H71*K71*AA71)</x:f>
        <x:v>0</x:v>
      </x:c>
      <x:c r="AE71" s="32" t="n">
        <x:f>IF(OR(Z71="",Z71="Excluido"),0,I71*L71*AB71)</x:f>
        <x:v>0</x:v>
      </x:c>
      <x:c r="AF71" s="32" t="n">
        <x:f>IF(OR(Z71="",Z71="Excluido"),0,J71*M71*AC71)</x:f>
        <x:v>0</x:v>
      </x:c>
    </x:row>
    <x:row r="72">
      <x:c r="A72" s="21"/>
      <x:c r="B72" s="21"/>
      <x:c r="C72" s="21"/>
      <x:c r="D72" s="21"/>
      <x:c r="E72" s="21"/>
      <x:c r="F72" s="21"/>
      <x:c r="G72" s="21"/>
      <x:c r="H72" s="31"/>
      <x:c r="I72" s="31"/>
      <x:c r="J72" s="31"/>
      <x:c r="K72" s="31"/>
      <x:c r="L72" s="31"/>
      <x:c r="M72" s="31"/>
      <x:c r="N72" s="24"/>
      <x:c r="O72" s="24"/>
      <x:c r="P72" s="24"/>
      <x:c r="Q72" s="21"/>
      <x:c r="R72" s="21"/>
      <x:c r="S72" s="21"/>
      <x:c r="T72" s="21"/>
      <x:c r="U72" s="21"/>
      <x:c r="V72" s="21"/>
      <x:c r="W72" s="21"/>
      <x:c r="X72" s="21"/>
      <x:c r="Y72" s="21"/>
      <x:c r="Z72" s="30" t="str">
        <x:f>IF(B72="","",IF(OR(U72&lt;&gt;"Sí",V72="X"),"Excluido",IF(OR(V72="D",V72="E",W72="Baja"),"Exploratorio","Principal")))</x:f>
      </x:c>
      <x:c r="AA72" s="33" t="n">
        <x:f>IF(OR(N72="",Q72=""),0,IF(T72="Inmediata",0,IF(Q72&lt;=0,0,IF(CASO!$E$6=0,N72*IF(T72="Constante",Q72,(Q72+1)/2),N72*IF(T72="Constante",((1-(1/(1+CASO!$E$6))^Q72)/(1-(1/(1+CASO!$E$6)))),((1-(1/(1+CASO!$E$6))^Q72)/(1-(1/(1+CASO!$E$6))))-(((1/(1+CASO!$E$6))-Q72*(1/(1+CASO!$E$6))^Q72+(Q72-1)*(1/(1+CASO!$E$6))^(Q72+1))/(1-(1/(1+CASO!$E$6)))^2)/Q72)))))</x:f>
        <x:v>0</x:v>
      </x:c>
      <x:c r="AB72" s="33" t="n">
        <x:f>IF(OR(O72="",R72=""),0,IF(T72="Inmediata",0,IF(R72&lt;=0,0,IF(CASO!$E$7=0,O72*IF(T72="Constante",R72,(R72+1)/2),O72*IF(T72="Constante",((1-(1/(1+CASO!$E$7))^R72)/(1-(1/(1+CASO!$E$7)))),((1-(1/(1+CASO!$E$7))^R72)/(1-(1/(1+CASO!$E$7))))-(((1/(1+CASO!$E$7))-R72*(1/(1+CASO!$E$7))^R72+(R72-1)*(1/(1+CASO!$E$7))^(R72+1))/(1-(1/(1+CASO!$E$7)))^2)/R72)))))</x:f>
        <x:v>0</x:v>
      </x:c>
      <x:c r="AC72" s="33" t="n">
        <x:f>IF(OR(P72="",S72=""),0,IF(T72="Inmediata",0,IF(S72&lt;=0,0,IF(CASO!$E$8=0,P72*IF(T72="Constante",S72,(S72+1)/2),P72*IF(T72="Constante",((1-(1/(1+CASO!$E$8))^S72)/(1-(1/(1+CASO!$E$8)))),((1-(1/(1+CASO!$E$8))^S72)/(1-(1/(1+CASO!$E$8))))-(((1/(1+CASO!$E$8))-S72*(1/(1+CASO!$E$8))^S72+(S72-1)*(1/(1+CASO!$E$8))^(S72+1))/(1-(1/(1+CASO!$E$8)))^2)/S72)))))</x:f>
        <x:v>0</x:v>
      </x:c>
      <x:c r="AD72" s="32" t="n">
        <x:f>IF(OR(Z72="",Z72="Excluido"),0,H72*K72*AA72)</x:f>
        <x:v>0</x:v>
      </x:c>
      <x:c r="AE72" s="32" t="n">
        <x:f>IF(OR(Z72="",Z72="Excluido"),0,I72*L72*AB72)</x:f>
        <x:v>0</x:v>
      </x:c>
      <x:c r="AF72" s="32" t="n">
        <x:f>IF(OR(Z72="",Z72="Excluido"),0,J72*M72*AC72)</x:f>
        <x:v>0</x:v>
      </x:c>
    </x:row>
    <x:row r="73">
      <x:c r="A73" s="21"/>
      <x:c r="B73" s="21"/>
      <x:c r="C73" s="21"/>
      <x:c r="D73" s="21"/>
      <x:c r="E73" s="21"/>
      <x:c r="F73" s="21"/>
      <x:c r="G73" s="21"/>
      <x:c r="H73" s="31"/>
      <x:c r="I73" s="31"/>
      <x:c r="J73" s="31"/>
      <x:c r="K73" s="31"/>
      <x:c r="L73" s="31"/>
      <x:c r="M73" s="31"/>
      <x:c r="N73" s="24"/>
      <x:c r="O73" s="24"/>
      <x:c r="P73" s="24"/>
      <x:c r="Q73" s="21"/>
      <x:c r="R73" s="21"/>
      <x:c r="S73" s="21"/>
      <x:c r="T73" s="21"/>
      <x:c r="U73" s="21"/>
      <x:c r="V73" s="21"/>
      <x:c r="W73" s="21"/>
      <x:c r="X73" s="21"/>
      <x:c r="Y73" s="21"/>
      <x:c r="Z73" s="30" t="str">
        <x:f>IF(B73="","",IF(OR(U73&lt;&gt;"Sí",V73="X"),"Excluido",IF(OR(V73="D",V73="E",W73="Baja"),"Exploratorio","Principal")))</x:f>
      </x:c>
      <x:c r="AA73" s="33" t="n">
        <x:f>IF(OR(N73="",Q73=""),0,IF(T73="Inmediata",0,IF(Q73&lt;=0,0,IF(CASO!$E$6=0,N73*IF(T73="Constante",Q73,(Q73+1)/2),N73*IF(T73="Constante",((1-(1/(1+CASO!$E$6))^Q73)/(1-(1/(1+CASO!$E$6)))),((1-(1/(1+CASO!$E$6))^Q73)/(1-(1/(1+CASO!$E$6))))-(((1/(1+CASO!$E$6))-Q73*(1/(1+CASO!$E$6))^Q73+(Q73-1)*(1/(1+CASO!$E$6))^(Q73+1))/(1-(1/(1+CASO!$E$6)))^2)/Q73)))))</x:f>
        <x:v>0</x:v>
      </x:c>
      <x:c r="AB73" s="33" t="n">
        <x:f>IF(OR(O73="",R73=""),0,IF(T73="Inmediata",0,IF(R73&lt;=0,0,IF(CASO!$E$7=0,O73*IF(T73="Constante",R73,(R73+1)/2),O73*IF(T73="Constante",((1-(1/(1+CASO!$E$7))^R73)/(1-(1/(1+CASO!$E$7)))),((1-(1/(1+CASO!$E$7))^R73)/(1-(1/(1+CASO!$E$7))))-(((1/(1+CASO!$E$7))-R73*(1/(1+CASO!$E$7))^R73+(R73-1)*(1/(1+CASO!$E$7))^(R73+1))/(1-(1/(1+CASO!$E$7)))^2)/R73)))))</x:f>
        <x:v>0</x:v>
      </x:c>
      <x:c r="AC73" s="33" t="n">
        <x:f>IF(OR(P73="",S73=""),0,IF(T73="Inmediata",0,IF(S73&lt;=0,0,IF(CASO!$E$8=0,P73*IF(T73="Constante",S73,(S73+1)/2),P73*IF(T73="Constante",((1-(1/(1+CASO!$E$8))^S73)/(1-(1/(1+CASO!$E$8)))),((1-(1/(1+CASO!$E$8))^S73)/(1-(1/(1+CASO!$E$8))))-(((1/(1+CASO!$E$8))-S73*(1/(1+CASO!$E$8))^S73+(S73-1)*(1/(1+CASO!$E$8))^(S73+1))/(1-(1/(1+CASO!$E$8)))^2)/S73)))))</x:f>
        <x:v>0</x:v>
      </x:c>
      <x:c r="AD73" s="32" t="n">
        <x:f>IF(OR(Z73="",Z73="Excluido"),0,H73*K73*AA73)</x:f>
        <x:v>0</x:v>
      </x:c>
      <x:c r="AE73" s="32" t="n">
        <x:f>IF(OR(Z73="",Z73="Excluido"),0,I73*L73*AB73)</x:f>
        <x:v>0</x:v>
      </x:c>
      <x:c r="AF73" s="32" t="n">
        <x:f>IF(OR(Z73="",Z73="Excluido"),0,J73*M73*AC73)</x:f>
        <x:v>0</x:v>
      </x:c>
    </x:row>
    <x:row r="74">
      <x:c r="A74" s="21"/>
      <x:c r="B74" s="21"/>
      <x:c r="C74" s="21"/>
      <x:c r="D74" s="21"/>
      <x:c r="E74" s="21"/>
      <x:c r="F74" s="21"/>
      <x:c r="G74" s="21"/>
      <x:c r="H74" s="31"/>
      <x:c r="I74" s="31"/>
      <x:c r="J74" s="31"/>
      <x:c r="K74" s="31"/>
      <x:c r="L74" s="31"/>
      <x:c r="M74" s="31"/>
      <x:c r="N74" s="24"/>
      <x:c r="O74" s="24"/>
      <x:c r="P74" s="24"/>
      <x:c r="Q74" s="21"/>
      <x:c r="R74" s="21"/>
      <x:c r="S74" s="21"/>
      <x:c r="T74" s="21"/>
      <x:c r="U74" s="21"/>
      <x:c r="V74" s="21"/>
      <x:c r="W74" s="21"/>
      <x:c r="X74" s="21"/>
      <x:c r="Y74" s="21"/>
      <x:c r="Z74" s="30" t="str">
        <x:f>IF(B74="","",IF(OR(U74&lt;&gt;"Sí",V74="X"),"Excluido",IF(OR(V74="D",V74="E",W74="Baja"),"Exploratorio","Principal")))</x:f>
      </x:c>
      <x:c r="AA74" s="33" t="n">
        <x:f>IF(OR(N74="",Q74=""),0,IF(T74="Inmediata",0,IF(Q74&lt;=0,0,IF(CASO!$E$6=0,N74*IF(T74="Constante",Q74,(Q74+1)/2),N74*IF(T74="Constante",((1-(1/(1+CASO!$E$6))^Q74)/(1-(1/(1+CASO!$E$6)))),((1-(1/(1+CASO!$E$6))^Q74)/(1-(1/(1+CASO!$E$6))))-(((1/(1+CASO!$E$6))-Q74*(1/(1+CASO!$E$6))^Q74+(Q74-1)*(1/(1+CASO!$E$6))^(Q74+1))/(1-(1/(1+CASO!$E$6)))^2)/Q74)))))</x:f>
        <x:v>0</x:v>
      </x:c>
      <x:c r="AB74" s="33" t="n">
        <x:f>IF(OR(O74="",R74=""),0,IF(T74="Inmediata",0,IF(R74&lt;=0,0,IF(CASO!$E$7=0,O74*IF(T74="Constante",R74,(R74+1)/2),O74*IF(T74="Constante",((1-(1/(1+CASO!$E$7))^R74)/(1-(1/(1+CASO!$E$7)))),((1-(1/(1+CASO!$E$7))^R74)/(1-(1/(1+CASO!$E$7))))-(((1/(1+CASO!$E$7))-R74*(1/(1+CASO!$E$7))^R74+(R74-1)*(1/(1+CASO!$E$7))^(R74+1))/(1-(1/(1+CASO!$E$7)))^2)/R74)))))</x:f>
        <x:v>0</x:v>
      </x:c>
      <x:c r="AC74" s="33" t="n">
        <x:f>IF(OR(P74="",S74=""),0,IF(T74="Inmediata",0,IF(S74&lt;=0,0,IF(CASO!$E$8=0,P74*IF(T74="Constante",S74,(S74+1)/2),P74*IF(T74="Constante",((1-(1/(1+CASO!$E$8))^S74)/(1-(1/(1+CASO!$E$8)))),((1-(1/(1+CASO!$E$8))^S74)/(1-(1/(1+CASO!$E$8))))-(((1/(1+CASO!$E$8))-S74*(1/(1+CASO!$E$8))^S74+(S74-1)*(1/(1+CASO!$E$8))^(S74+1))/(1-(1/(1+CASO!$E$8)))^2)/S74)))))</x:f>
        <x:v>0</x:v>
      </x:c>
      <x:c r="AD74" s="32" t="n">
        <x:f>IF(OR(Z74="",Z74="Excluido"),0,H74*K74*AA74)</x:f>
        <x:v>0</x:v>
      </x:c>
      <x:c r="AE74" s="32" t="n">
        <x:f>IF(OR(Z74="",Z74="Excluido"),0,I74*L74*AB74)</x:f>
        <x:v>0</x:v>
      </x:c>
      <x:c r="AF74" s="32" t="n">
        <x:f>IF(OR(Z74="",Z74="Excluido"),0,J74*M74*AC74)</x:f>
        <x:v>0</x:v>
      </x:c>
    </x:row>
    <x:row r="75">
      <x:c r="A75" s="21"/>
      <x:c r="B75" s="21"/>
      <x:c r="C75" s="21"/>
      <x:c r="D75" s="21"/>
      <x:c r="E75" s="21"/>
      <x:c r="F75" s="21"/>
      <x:c r="G75" s="21"/>
      <x:c r="H75" s="31"/>
      <x:c r="I75" s="31"/>
      <x:c r="J75" s="31"/>
      <x:c r="K75" s="31"/>
      <x:c r="L75" s="31"/>
      <x:c r="M75" s="31"/>
      <x:c r="N75" s="24"/>
      <x:c r="O75" s="24"/>
      <x:c r="P75" s="24"/>
      <x:c r="Q75" s="21"/>
      <x:c r="R75" s="21"/>
      <x:c r="S75" s="21"/>
      <x:c r="T75" s="21"/>
      <x:c r="U75" s="21"/>
      <x:c r="V75" s="21"/>
      <x:c r="W75" s="21"/>
      <x:c r="X75" s="21"/>
      <x:c r="Y75" s="21"/>
      <x:c r="Z75" s="30" t="str">
        <x:f>IF(B75="","",IF(OR(U75&lt;&gt;"Sí",V75="X"),"Excluido",IF(OR(V75="D",V75="E",W75="Baja"),"Exploratorio","Principal")))</x:f>
      </x:c>
      <x:c r="AA75" s="33" t="n">
        <x:f>IF(OR(N75="",Q75=""),0,IF(T75="Inmediata",0,IF(Q75&lt;=0,0,IF(CASO!$E$6=0,N75*IF(T75="Constante",Q75,(Q75+1)/2),N75*IF(T75="Constante",((1-(1/(1+CASO!$E$6))^Q75)/(1-(1/(1+CASO!$E$6)))),((1-(1/(1+CASO!$E$6))^Q75)/(1-(1/(1+CASO!$E$6))))-(((1/(1+CASO!$E$6))-Q75*(1/(1+CASO!$E$6))^Q75+(Q75-1)*(1/(1+CASO!$E$6))^(Q75+1))/(1-(1/(1+CASO!$E$6)))^2)/Q75)))))</x:f>
        <x:v>0</x:v>
      </x:c>
      <x:c r="AB75" s="33" t="n">
        <x:f>IF(OR(O75="",R75=""),0,IF(T75="Inmediata",0,IF(R75&lt;=0,0,IF(CASO!$E$7=0,O75*IF(T75="Constante",R75,(R75+1)/2),O75*IF(T75="Constante",((1-(1/(1+CASO!$E$7))^R75)/(1-(1/(1+CASO!$E$7)))),((1-(1/(1+CASO!$E$7))^R75)/(1-(1/(1+CASO!$E$7))))-(((1/(1+CASO!$E$7))-R75*(1/(1+CASO!$E$7))^R75+(R75-1)*(1/(1+CASO!$E$7))^(R75+1))/(1-(1/(1+CASO!$E$7)))^2)/R75)))))</x:f>
        <x:v>0</x:v>
      </x:c>
      <x:c r="AC75" s="33" t="n">
        <x:f>IF(OR(P75="",S75=""),0,IF(T75="Inmediata",0,IF(S75&lt;=0,0,IF(CASO!$E$8=0,P75*IF(T75="Constante",S75,(S75+1)/2),P75*IF(T75="Constante",((1-(1/(1+CASO!$E$8))^S75)/(1-(1/(1+CASO!$E$8)))),((1-(1/(1+CASO!$E$8))^S75)/(1-(1/(1+CASO!$E$8))))-(((1/(1+CASO!$E$8))-S75*(1/(1+CASO!$E$8))^S75+(S75-1)*(1/(1+CASO!$E$8))^(S75+1))/(1-(1/(1+CASO!$E$8)))^2)/S75)))))</x:f>
        <x:v>0</x:v>
      </x:c>
      <x:c r="AD75" s="32" t="n">
        <x:f>IF(OR(Z75="",Z75="Excluido"),0,H75*K75*AA75)</x:f>
        <x:v>0</x:v>
      </x:c>
      <x:c r="AE75" s="32" t="n">
        <x:f>IF(OR(Z75="",Z75="Excluido"),0,I75*L75*AB75)</x:f>
        <x:v>0</x:v>
      </x:c>
      <x:c r="AF75" s="32" t="n">
        <x:f>IF(OR(Z75="",Z75="Excluido"),0,J75*M75*AC75)</x:f>
        <x:v>0</x:v>
      </x:c>
    </x:row>
    <x:row r="76">
      <x:c r="A76" s="21"/>
      <x:c r="B76" s="21"/>
      <x:c r="C76" s="21"/>
      <x:c r="D76" s="21"/>
      <x:c r="E76" s="21"/>
      <x:c r="F76" s="21"/>
      <x:c r="G76" s="21"/>
      <x:c r="H76" s="31"/>
      <x:c r="I76" s="31"/>
      <x:c r="J76" s="31"/>
      <x:c r="K76" s="31"/>
      <x:c r="L76" s="31"/>
      <x:c r="M76" s="31"/>
      <x:c r="N76" s="24"/>
      <x:c r="O76" s="24"/>
      <x:c r="P76" s="24"/>
      <x:c r="Q76" s="21"/>
      <x:c r="R76" s="21"/>
      <x:c r="S76" s="21"/>
      <x:c r="T76" s="21"/>
      <x:c r="U76" s="21"/>
      <x:c r="V76" s="21"/>
      <x:c r="W76" s="21"/>
      <x:c r="X76" s="21"/>
      <x:c r="Y76" s="21"/>
      <x:c r="Z76" s="30" t="str">
        <x:f>IF(B76="","",IF(OR(U76&lt;&gt;"Sí",V76="X"),"Excluido",IF(OR(V76="D",V76="E",W76="Baja"),"Exploratorio","Principal")))</x:f>
      </x:c>
      <x:c r="AA76" s="33" t="n">
        <x:f>IF(OR(N76="",Q76=""),0,IF(T76="Inmediata",0,IF(Q76&lt;=0,0,IF(CASO!$E$6=0,N76*IF(T76="Constante",Q76,(Q76+1)/2),N76*IF(T76="Constante",((1-(1/(1+CASO!$E$6))^Q76)/(1-(1/(1+CASO!$E$6)))),((1-(1/(1+CASO!$E$6))^Q76)/(1-(1/(1+CASO!$E$6))))-(((1/(1+CASO!$E$6))-Q76*(1/(1+CASO!$E$6))^Q76+(Q76-1)*(1/(1+CASO!$E$6))^(Q76+1))/(1-(1/(1+CASO!$E$6)))^2)/Q76)))))</x:f>
        <x:v>0</x:v>
      </x:c>
      <x:c r="AB76" s="33" t="n">
        <x:f>IF(OR(O76="",R76=""),0,IF(T76="Inmediata",0,IF(R76&lt;=0,0,IF(CASO!$E$7=0,O76*IF(T76="Constante",R76,(R76+1)/2),O76*IF(T76="Constante",((1-(1/(1+CASO!$E$7))^R76)/(1-(1/(1+CASO!$E$7)))),((1-(1/(1+CASO!$E$7))^R76)/(1-(1/(1+CASO!$E$7))))-(((1/(1+CASO!$E$7))-R76*(1/(1+CASO!$E$7))^R76+(R76-1)*(1/(1+CASO!$E$7))^(R76+1))/(1-(1/(1+CASO!$E$7)))^2)/R76)))))</x:f>
        <x:v>0</x:v>
      </x:c>
      <x:c r="AC76" s="33" t="n">
        <x:f>IF(OR(P76="",S76=""),0,IF(T76="Inmediata",0,IF(S76&lt;=0,0,IF(CASO!$E$8=0,P76*IF(T76="Constante",S76,(S76+1)/2),P76*IF(T76="Constante",((1-(1/(1+CASO!$E$8))^S76)/(1-(1/(1+CASO!$E$8)))),((1-(1/(1+CASO!$E$8))^S76)/(1-(1/(1+CASO!$E$8))))-(((1/(1+CASO!$E$8))-S76*(1/(1+CASO!$E$8))^S76+(S76-1)*(1/(1+CASO!$E$8))^(S76+1))/(1-(1/(1+CASO!$E$8)))^2)/S76)))))</x:f>
        <x:v>0</x:v>
      </x:c>
      <x:c r="AD76" s="32" t="n">
        <x:f>IF(OR(Z76="",Z76="Excluido"),0,H76*K76*AA76)</x:f>
        <x:v>0</x:v>
      </x:c>
      <x:c r="AE76" s="32" t="n">
        <x:f>IF(OR(Z76="",Z76="Excluido"),0,I76*L76*AB76)</x:f>
        <x:v>0</x:v>
      </x:c>
      <x:c r="AF76" s="32" t="n">
        <x:f>IF(OR(Z76="",Z76="Excluido"),0,J76*M76*AC76)</x:f>
        <x:v>0</x:v>
      </x:c>
    </x:row>
    <x:row r="77">
      <x:c r="A77" s="21"/>
      <x:c r="B77" s="21"/>
      <x:c r="C77" s="21"/>
      <x:c r="D77" s="21"/>
      <x:c r="E77" s="21"/>
      <x:c r="F77" s="21"/>
      <x:c r="G77" s="21"/>
      <x:c r="H77" s="31"/>
      <x:c r="I77" s="31"/>
      <x:c r="J77" s="31"/>
      <x:c r="K77" s="31"/>
      <x:c r="L77" s="31"/>
      <x:c r="M77" s="31"/>
      <x:c r="N77" s="24"/>
      <x:c r="O77" s="24"/>
      <x:c r="P77" s="24"/>
      <x:c r="Q77" s="21"/>
      <x:c r="R77" s="21"/>
      <x:c r="S77" s="21"/>
      <x:c r="T77" s="21"/>
      <x:c r="U77" s="21"/>
      <x:c r="V77" s="21"/>
      <x:c r="W77" s="21"/>
      <x:c r="X77" s="21"/>
      <x:c r="Y77" s="21"/>
      <x:c r="Z77" s="30" t="str">
        <x:f>IF(B77="","",IF(OR(U77&lt;&gt;"Sí",V77="X"),"Excluido",IF(OR(V77="D",V77="E",W77="Baja"),"Exploratorio","Principal")))</x:f>
      </x:c>
      <x:c r="AA77" s="33" t="n">
        <x:f>IF(OR(N77="",Q77=""),0,IF(T77="Inmediata",0,IF(Q77&lt;=0,0,IF(CASO!$E$6=0,N77*IF(T77="Constante",Q77,(Q77+1)/2),N77*IF(T77="Constante",((1-(1/(1+CASO!$E$6))^Q77)/(1-(1/(1+CASO!$E$6)))),((1-(1/(1+CASO!$E$6))^Q77)/(1-(1/(1+CASO!$E$6))))-(((1/(1+CASO!$E$6))-Q77*(1/(1+CASO!$E$6))^Q77+(Q77-1)*(1/(1+CASO!$E$6))^(Q77+1))/(1-(1/(1+CASO!$E$6)))^2)/Q77)))))</x:f>
        <x:v>0</x:v>
      </x:c>
      <x:c r="AB77" s="33" t="n">
        <x:f>IF(OR(O77="",R77=""),0,IF(T77="Inmediata",0,IF(R77&lt;=0,0,IF(CASO!$E$7=0,O77*IF(T77="Constante",R77,(R77+1)/2),O77*IF(T77="Constante",((1-(1/(1+CASO!$E$7))^R77)/(1-(1/(1+CASO!$E$7)))),((1-(1/(1+CASO!$E$7))^R77)/(1-(1/(1+CASO!$E$7))))-(((1/(1+CASO!$E$7))-R77*(1/(1+CASO!$E$7))^R77+(R77-1)*(1/(1+CASO!$E$7))^(R77+1))/(1-(1/(1+CASO!$E$7)))^2)/R77)))))</x:f>
        <x:v>0</x:v>
      </x:c>
      <x:c r="AC77" s="33" t="n">
        <x:f>IF(OR(P77="",S77=""),0,IF(T77="Inmediata",0,IF(S77&lt;=0,0,IF(CASO!$E$8=0,P77*IF(T77="Constante",S77,(S77+1)/2),P77*IF(T77="Constante",((1-(1/(1+CASO!$E$8))^S77)/(1-(1/(1+CASO!$E$8)))),((1-(1/(1+CASO!$E$8))^S77)/(1-(1/(1+CASO!$E$8))))-(((1/(1+CASO!$E$8))-S77*(1/(1+CASO!$E$8))^S77+(S77-1)*(1/(1+CASO!$E$8))^(S77+1))/(1-(1/(1+CASO!$E$8)))^2)/S77)))))</x:f>
        <x:v>0</x:v>
      </x:c>
      <x:c r="AD77" s="32" t="n">
        <x:f>IF(OR(Z77="",Z77="Excluido"),0,H77*K77*AA77)</x:f>
        <x:v>0</x:v>
      </x:c>
      <x:c r="AE77" s="32" t="n">
        <x:f>IF(OR(Z77="",Z77="Excluido"),0,I77*L77*AB77)</x:f>
        <x:v>0</x:v>
      </x:c>
      <x:c r="AF77" s="32" t="n">
        <x:f>IF(OR(Z77="",Z77="Excluido"),0,J77*M77*AC77)</x:f>
        <x:v>0</x:v>
      </x:c>
    </x:row>
    <x:row r="78">
      <x:c r="A78" s="21"/>
      <x:c r="B78" s="21"/>
      <x:c r="C78" s="21"/>
      <x:c r="D78" s="21"/>
      <x:c r="E78" s="21"/>
      <x:c r="F78" s="21"/>
      <x:c r="G78" s="21"/>
      <x:c r="H78" s="31"/>
      <x:c r="I78" s="31"/>
      <x:c r="J78" s="31"/>
      <x:c r="K78" s="31"/>
      <x:c r="L78" s="31"/>
      <x:c r="M78" s="31"/>
      <x:c r="N78" s="24"/>
      <x:c r="O78" s="24"/>
      <x:c r="P78" s="24"/>
      <x:c r="Q78" s="21"/>
      <x:c r="R78" s="21"/>
      <x:c r="S78" s="21"/>
      <x:c r="T78" s="21"/>
      <x:c r="U78" s="21"/>
      <x:c r="V78" s="21"/>
      <x:c r="W78" s="21"/>
      <x:c r="X78" s="21"/>
      <x:c r="Y78" s="21"/>
      <x:c r="Z78" s="30" t="str">
        <x:f>IF(B78="","",IF(OR(U78&lt;&gt;"Sí",V78="X"),"Excluido",IF(OR(V78="D",V78="E",W78="Baja"),"Exploratorio","Principal")))</x:f>
      </x:c>
      <x:c r="AA78" s="33" t="n">
        <x:f>IF(OR(N78="",Q78=""),0,IF(T78="Inmediata",0,IF(Q78&lt;=0,0,IF(CASO!$E$6=0,N78*IF(T78="Constante",Q78,(Q78+1)/2),N78*IF(T78="Constante",((1-(1/(1+CASO!$E$6))^Q78)/(1-(1/(1+CASO!$E$6)))),((1-(1/(1+CASO!$E$6))^Q78)/(1-(1/(1+CASO!$E$6))))-(((1/(1+CASO!$E$6))-Q78*(1/(1+CASO!$E$6))^Q78+(Q78-1)*(1/(1+CASO!$E$6))^(Q78+1))/(1-(1/(1+CASO!$E$6)))^2)/Q78)))))</x:f>
        <x:v>0</x:v>
      </x:c>
      <x:c r="AB78" s="33" t="n">
        <x:f>IF(OR(O78="",R78=""),0,IF(T78="Inmediata",0,IF(R78&lt;=0,0,IF(CASO!$E$7=0,O78*IF(T78="Constante",R78,(R78+1)/2),O78*IF(T78="Constante",((1-(1/(1+CASO!$E$7))^R78)/(1-(1/(1+CASO!$E$7)))),((1-(1/(1+CASO!$E$7))^R78)/(1-(1/(1+CASO!$E$7))))-(((1/(1+CASO!$E$7))-R78*(1/(1+CASO!$E$7))^R78+(R78-1)*(1/(1+CASO!$E$7))^(R78+1))/(1-(1/(1+CASO!$E$7)))^2)/R78)))))</x:f>
        <x:v>0</x:v>
      </x:c>
      <x:c r="AC78" s="33" t="n">
        <x:f>IF(OR(P78="",S78=""),0,IF(T78="Inmediata",0,IF(S78&lt;=0,0,IF(CASO!$E$8=0,P78*IF(T78="Constante",S78,(S78+1)/2),P78*IF(T78="Constante",((1-(1/(1+CASO!$E$8))^S78)/(1-(1/(1+CASO!$E$8)))),((1-(1/(1+CASO!$E$8))^S78)/(1-(1/(1+CASO!$E$8))))-(((1/(1+CASO!$E$8))-S78*(1/(1+CASO!$E$8))^S78+(S78-1)*(1/(1+CASO!$E$8))^(S78+1))/(1-(1/(1+CASO!$E$8)))^2)/S78)))))</x:f>
        <x:v>0</x:v>
      </x:c>
      <x:c r="AD78" s="32" t="n">
        <x:f>IF(OR(Z78="",Z78="Excluido"),0,H78*K78*AA78)</x:f>
        <x:v>0</x:v>
      </x:c>
      <x:c r="AE78" s="32" t="n">
        <x:f>IF(OR(Z78="",Z78="Excluido"),0,I78*L78*AB78)</x:f>
        <x:v>0</x:v>
      </x:c>
      <x:c r="AF78" s="32" t="n">
        <x:f>IF(OR(Z78="",Z78="Excluido"),0,J78*M78*AC78)</x:f>
        <x:v>0</x:v>
      </x:c>
    </x:row>
    <x:row r="79">
      <x:c r="A79" s="21"/>
      <x:c r="B79" s="21"/>
      <x:c r="C79" s="21"/>
      <x:c r="D79" s="21"/>
      <x:c r="E79" s="21"/>
      <x:c r="F79" s="21"/>
      <x:c r="G79" s="21"/>
      <x:c r="H79" s="31"/>
      <x:c r="I79" s="31"/>
      <x:c r="J79" s="31"/>
      <x:c r="K79" s="31"/>
      <x:c r="L79" s="31"/>
      <x:c r="M79" s="31"/>
      <x:c r="N79" s="24"/>
      <x:c r="O79" s="24"/>
      <x:c r="P79" s="24"/>
      <x:c r="Q79" s="21"/>
      <x:c r="R79" s="21"/>
      <x:c r="S79" s="21"/>
      <x:c r="T79" s="21"/>
      <x:c r="U79" s="21"/>
      <x:c r="V79" s="21"/>
      <x:c r="W79" s="21"/>
      <x:c r="X79" s="21"/>
      <x:c r="Y79" s="21"/>
      <x:c r="Z79" s="30" t="str">
        <x:f>IF(B79="","",IF(OR(U79&lt;&gt;"Sí",V79="X"),"Excluido",IF(OR(V79="D",V79="E",W79="Baja"),"Exploratorio","Principal")))</x:f>
      </x:c>
      <x:c r="AA79" s="33" t="n">
        <x:f>IF(OR(N79="",Q79=""),0,IF(T79="Inmediata",0,IF(Q79&lt;=0,0,IF(CASO!$E$6=0,N79*IF(T79="Constante",Q79,(Q79+1)/2),N79*IF(T79="Constante",((1-(1/(1+CASO!$E$6))^Q79)/(1-(1/(1+CASO!$E$6)))),((1-(1/(1+CASO!$E$6))^Q79)/(1-(1/(1+CASO!$E$6))))-(((1/(1+CASO!$E$6))-Q79*(1/(1+CASO!$E$6))^Q79+(Q79-1)*(1/(1+CASO!$E$6))^(Q79+1))/(1-(1/(1+CASO!$E$6)))^2)/Q79)))))</x:f>
        <x:v>0</x:v>
      </x:c>
      <x:c r="AB79" s="33" t="n">
        <x:f>IF(OR(O79="",R79=""),0,IF(T79="Inmediata",0,IF(R79&lt;=0,0,IF(CASO!$E$7=0,O79*IF(T79="Constante",R79,(R79+1)/2),O79*IF(T79="Constante",((1-(1/(1+CASO!$E$7))^R79)/(1-(1/(1+CASO!$E$7)))),((1-(1/(1+CASO!$E$7))^R79)/(1-(1/(1+CASO!$E$7))))-(((1/(1+CASO!$E$7))-R79*(1/(1+CASO!$E$7))^R79+(R79-1)*(1/(1+CASO!$E$7))^(R79+1))/(1-(1/(1+CASO!$E$7)))^2)/R79)))))</x:f>
        <x:v>0</x:v>
      </x:c>
      <x:c r="AC79" s="33" t="n">
        <x:f>IF(OR(P79="",S79=""),0,IF(T79="Inmediata",0,IF(S79&lt;=0,0,IF(CASO!$E$8=0,P79*IF(T79="Constante",S79,(S79+1)/2),P79*IF(T79="Constante",((1-(1/(1+CASO!$E$8))^S79)/(1-(1/(1+CASO!$E$8)))),((1-(1/(1+CASO!$E$8))^S79)/(1-(1/(1+CASO!$E$8))))-(((1/(1+CASO!$E$8))-S79*(1/(1+CASO!$E$8))^S79+(S79-1)*(1/(1+CASO!$E$8))^(S79+1))/(1-(1/(1+CASO!$E$8)))^2)/S79)))))</x:f>
        <x:v>0</x:v>
      </x:c>
      <x:c r="AD79" s="32" t="n">
        <x:f>IF(OR(Z79="",Z79="Excluido"),0,H79*K79*AA79)</x:f>
        <x:v>0</x:v>
      </x:c>
      <x:c r="AE79" s="32" t="n">
        <x:f>IF(OR(Z79="",Z79="Excluido"),0,I79*L79*AB79)</x:f>
        <x:v>0</x:v>
      </x:c>
      <x:c r="AF79" s="32" t="n">
        <x:f>IF(OR(Z79="",Z79="Excluido"),0,J79*M79*AC79)</x:f>
        <x:v>0</x:v>
      </x:c>
    </x:row>
    <x:row r="80">
      <x:c r="A80" s="21"/>
      <x:c r="B80" s="21"/>
      <x:c r="C80" s="21"/>
      <x:c r="D80" s="21"/>
      <x:c r="E80" s="21"/>
      <x:c r="F80" s="21"/>
      <x:c r="G80" s="21"/>
      <x:c r="H80" s="31"/>
      <x:c r="I80" s="31"/>
      <x:c r="J80" s="31"/>
      <x:c r="K80" s="31"/>
      <x:c r="L80" s="31"/>
      <x:c r="M80" s="31"/>
      <x:c r="N80" s="24"/>
      <x:c r="O80" s="24"/>
      <x:c r="P80" s="24"/>
      <x:c r="Q80" s="21"/>
      <x:c r="R80" s="21"/>
      <x:c r="S80" s="21"/>
      <x:c r="T80" s="21"/>
      <x:c r="U80" s="21"/>
      <x:c r="V80" s="21"/>
      <x:c r="W80" s="21"/>
      <x:c r="X80" s="21"/>
      <x:c r="Y80" s="21"/>
      <x:c r="Z80" s="30" t="str">
        <x:f>IF(B80="","",IF(OR(U80&lt;&gt;"Sí",V80="X"),"Excluido",IF(OR(V80="D",V80="E",W80="Baja"),"Exploratorio","Principal")))</x:f>
      </x:c>
      <x:c r="AA80" s="33" t="n">
        <x:f>IF(OR(N80="",Q80=""),0,IF(T80="Inmediata",0,IF(Q80&lt;=0,0,IF(CASO!$E$6=0,N80*IF(T80="Constante",Q80,(Q80+1)/2),N80*IF(T80="Constante",((1-(1/(1+CASO!$E$6))^Q80)/(1-(1/(1+CASO!$E$6)))),((1-(1/(1+CASO!$E$6))^Q80)/(1-(1/(1+CASO!$E$6))))-(((1/(1+CASO!$E$6))-Q80*(1/(1+CASO!$E$6))^Q80+(Q80-1)*(1/(1+CASO!$E$6))^(Q80+1))/(1-(1/(1+CASO!$E$6)))^2)/Q80)))))</x:f>
        <x:v>0</x:v>
      </x:c>
      <x:c r="AB80" s="33" t="n">
        <x:f>IF(OR(O80="",R80=""),0,IF(T80="Inmediata",0,IF(R80&lt;=0,0,IF(CASO!$E$7=0,O80*IF(T80="Constante",R80,(R80+1)/2),O80*IF(T80="Constante",((1-(1/(1+CASO!$E$7))^R80)/(1-(1/(1+CASO!$E$7)))),((1-(1/(1+CASO!$E$7))^R80)/(1-(1/(1+CASO!$E$7))))-(((1/(1+CASO!$E$7))-R80*(1/(1+CASO!$E$7))^R80+(R80-1)*(1/(1+CASO!$E$7))^(R80+1))/(1-(1/(1+CASO!$E$7)))^2)/R80)))))</x:f>
        <x:v>0</x:v>
      </x:c>
      <x:c r="AC80" s="33" t="n">
        <x:f>IF(OR(P80="",S80=""),0,IF(T80="Inmediata",0,IF(S80&lt;=0,0,IF(CASO!$E$8=0,P80*IF(T80="Constante",S80,(S80+1)/2),P80*IF(T80="Constante",((1-(1/(1+CASO!$E$8))^S80)/(1-(1/(1+CASO!$E$8)))),((1-(1/(1+CASO!$E$8))^S80)/(1-(1/(1+CASO!$E$8))))-(((1/(1+CASO!$E$8))-S80*(1/(1+CASO!$E$8))^S80+(S80-1)*(1/(1+CASO!$E$8))^(S80+1))/(1-(1/(1+CASO!$E$8)))^2)/S80)))))</x:f>
        <x:v>0</x:v>
      </x:c>
      <x:c r="AD80" s="32" t="n">
        <x:f>IF(OR(Z80="",Z80="Excluido"),0,H80*K80*AA80)</x:f>
        <x:v>0</x:v>
      </x:c>
      <x:c r="AE80" s="32" t="n">
        <x:f>IF(OR(Z80="",Z80="Excluido"),0,I80*L80*AB80)</x:f>
        <x:v>0</x:v>
      </x:c>
      <x:c r="AF80" s="32" t="n">
        <x:f>IF(OR(Z80="",Z80="Excluido"),0,J80*M80*AC80)</x:f>
        <x:v>0</x:v>
      </x:c>
    </x:row>
    <x:row r="81">
      <x:c r="A81" s="21"/>
      <x:c r="B81" s="21"/>
      <x:c r="C81" s="21"/>
      <x:c r="D81" s="21"/>
      <x:c r="E81" s="21"/>
      <x:c r="F81" s="21"/>
      <x:c r="G81" s="21"/>
      <x:c r="H81" s="31"/>
      <x:c r="I81" s="31"/>
      <x:c r="J81" s="31"/>
      <x:c r="K81" s="31"/>
      <x:c r="L81" s="31"/>
      <x:c r="M81" s="31"/>
      <x:c r="N81" s="24"/>
      <x:c r="O81" s="24"/>
      <x:c r="P81" s="24"/>
      <x:c r="Q81" s="21"/>
      <x:c r="R81" s="21"/>
      <x:c r="S81" s="21"/>
      <x:c r="T81" s="21"/>
      <x:c r="U81" s="21"/>
      <x:c r="V81" s="21"/>
      <x:c r="W81" s="21"/>
      <x:c r="X81" s="21"/>
      <x:c r="Y81" s="21"/>
      <x:c r="Z81" s="30" t="str">
        <x:f>IF(B81="","",IF(OR(U81&lt;&gt;"Sí",V81="X"),"Excluido",IF(OR(V81="D",V81="E",W81="Baja"),"Exploratorio","Principal")))</x:f>
      </x:c>
      <x:c r="AA81" s="33" t="n">
        <x:f>IF(OR(N81="",Q81=""),0,IF(T81="Inmediata",0,IF(Q81&lt;=0,0,IF(CASO!$E$6=0,N81*IF(T81="Constante",Q81,(Q81+1)/2),N81*IF(T81="Constante",((1-(1/(1+CASO!$E$6))^Q81)/(1-(1/(1+CASO!$E$6)))),((1-(1/(1+CASO!$E$6))^Q81)/(1-(1/(1+CASO!$E$6))))-(((1/(1+CASO!$E$6))-Q81*(1/(1+CASO!$E$6))^Q81+(Q81-1)*(1/(1+CASO!$E$6))^(Q81+1))/(1-(1/(1+CASO!$E$6)))^2)/Q81)))))</x:f>
        <x:v>0</x:v>
      </x:c>
      <x:c r="AB81" s="33" t="n">
        <x:f>IF(OR(O81="",R81=""),0,IF(T81="Inmediata",0,IF(R81&lt;=0,0,IF(CASO!$E$7=0,O81*IF(T81="Constante",R81,(R81+1)/2),O81*IF(T81="Constante",((1-(1/(1+CASO!$E$7))^R81)/(1-(1/(1+CASO!$E$7)))),((1-(1/(1+CASO!$E$7))^R81)/(1-(1/(1+CASO!$E$7))))-(((1/(1+CASO!$E$7))-R81*(1/(1+CASO!$E$7))^R81+(R81-1)*(1/(1+CASO!$E$7))^(R81+1))/(1-(1/(1+CASO!$E$7)))^2)/R81)))))</x:f>
        <x:v>0</x:v>
      </x:c>
      <x:c r="AC81" s="33" t="n">
        <x:f>IF(OR(P81="",S81=""),0,IF(T81="Inmediata",0,IF(S81&lt;=0,0,IF(CASO!$E$8=0,P81*IF(T81="Constante",S81,(S81+1)/2),P81*IF(T81="Constante",((1-(1/(1+CASO!$E$8))^S81)/(1-(1/(1+CASO!$E$8)))),((1-(1/(1+CASO!$E$8))^S81)/(1-(1/(1+CASO!$E$8))))-(((1/(1+CASO!$E$8))-S81*(1/(1+CASO!$E$8))^S81+(S81-1)*(1/(1+CASO!$E$8))^(S81+1))/(1-(1/(1+CASO!$E$8)))^2)/S81)))))</x:f>
        <x:v>0</x:v>
      </x:c>
      <x:c r="AD81" s="32" t="n">
        <x:f>IF(OR(Z81="",Z81="Excluido"),0,H81*K81*AA81)</x:f>
        <x:v>0</x:v>
      </x:c>
      <x:c r="AE81" s="32" t="n">
        <x:f>IF(OR(Z81="",Z81="Excluido"),0,I81*L81*AB81)</x:f>
        <x:v>0</x:v>
      </x:c>
      <x:c r="AF81" s="32" t="n">
        <x:f>IF(OR(Z81="",Z81="Excluido"),0,J81*M81*AC81)</x:f>
        <x:v>0</x:v>
      </x:c>
    </x:row>
    <x:row r="82">
      <x:c r="A82" s="21"/>
      <x:c r="B82" s="21"/>
      <x:c r="C82" s="21"/>
      <x:c r="D82" s="21"/>
      <x:c r="E82" s="21"/>
      <x:c r="F82" s="21"/>
      <x:c r="G82" s="21"/>
      <x:c r="H82" s="31"/>
      <x:c r="I82" s="31"/>
      <x:c r="J82" s="31"/>
      <x:c r="K82" s="31"/>
      <x:c r="L82" s="31"/>
      <x:c r="M82" s="31"/>
      <x:c r="N82" s="24"/>
      <x:c r="O82" s="24"/>
      <x:c r="P82" s="24"/>
      <x:c r="Q82" s="21"/>
      <x:c r="R82" s="21"/>
      <x:c r="S82" s="21"/>
      <x:c r="T82" s="21"/>
      <x:c r="U82" s="21"/>
      <x:c r="V82" s="21"/>
      <x:c r="W82" s="21"/>
      <x:c r="X82" s="21"/>
      <x:c r="Y82" s="21"/>
      <x:c r="Z82" s="30" t="str">
        <x:f>IF(B82="","",IF(OR(U82&lt;&gt;"Sí",V82="X"),"Excluido",IF(OR(V82="D",V82="E",W82="Baja"),"Exploratorio","Principal")))</x:f>
      </x:c>
      <x:c r="AA82" s="33" t="n">
        <x:f>IF(OR(N82="",Q82=""),0,IF(T82="Inmediata",0,IF(Q82&lt;=0,0,IF(CASO!$E$6=0,N82*IF(T82="Constante",Q82,(Q82+1)/2),N82*IF(T82="Constante",((1-(1/(1+CASO!$E$6))^Q82)/(1-(1/(1+CASO!$E$6)))),((1-(1/(1+CASO!$E$6))^Q82)/(1-(1/(1+CASO!$E$6))))-(((1/(1+CASO!$E$6))-Q82*(1/(1+CASO!$E$6))^Q82+(Q82-1)*(1/(1+CASO!$E$6))^(Q82+1))/(1-(1/(1+CASO!$E$6)))^2)/Q82)))))</x:f>
        <x:v>0</x:v>
      </x:c>
      <x:c r="AB82" s="33" t="n">
        <x:f>IF(OR(O82="",R82=""),0,IF(T82="Inmediata",0,IF(R82&lt;=0,0,IF(CASO!$E$7=0,O82*IF(T82="Constante",R82,(R82+1)/2),O82*IF(T82="Constante",((1-(1/(1+CASO!$E$7))^R82)/(1-(1/(1+CASO!$E$7)))),((1-(1/(1+CASO!$E$7))^R82)/(1-(1/(1+CASO!$E$7))))-(((1/(1+CASO!$E$7))-R82*(1/(1+CASO!$E$7))^R82+(R82-1)*(1/(1+CASO!$E$7))^(R82+1))/(1-(1/(1+CASO!$E$7)))^2)/R82)))))</x:f>
        <x:v>0</x:v>
      </x:c>
      <x:c r="AC82" s="33" t="n">
        <x:f>IF(OR(P82="",S82=""),0,IF(T82="Inmediata",0,IF(S82&lt;=0,0,IF(CASO!$E$8=0,P82*IF(T82="Constante",S82,(S82+1)/2),P82*IF(T82="Constante",((1-(1/(1+CASO!$E$8))^S82)/(1-(1/(1+CASO!$E$8)))),((1-(1/(1+CASO!$E$8))^S82)/(1-(1/(1+CASO!$E$8))))-(((1/(1+CASO!$E$8))-S82*(1/(1+CASO!$E$8))^S82+(S82-1)*(1/(1+CASO!$E$8))^(S82+1))/(1-(1/(1+CASO!$E$8)))^2)/S82)))))</x:f>
        <x:v>0</x:v>
      </x:c>
      <x:c r="AD82" s="32" t="n">
        <x:f>IF(OR(Z82="",Z82="Excluido"),0,H82*K82*AA82)</x:f>
        <x:v>0</x:v>
      </x:c>
      <x:c r="AE82" s="32" t="n">
        <x:f>IF(OR(Z82="",Z82="Excluido"),0,I82*L82*AB82)</x:f>
        <x:v>0</x:v>
      </x:c>
      <x:c r="AF82" s="32" t="n">
        <x:f>IF(OR(Z82="",Z82="Excluido"),0,J82*M82*AC82)</x:f>
        <x:v>0</x:v>
      </x:c>
    </x:row>
    <x:row r="83">
      <x:c r="A83" s="21"/>
      <x:c r="B83" s="21"/>
      <x:c r="C83" s="21"/>
      <x:c r="D83" s="21"/>
      <x:c r="E83" s="21"/>
      <x:c r="F83" s="21"/>
      <x:c r="G83" s="21"/>
      <x:c r="H83" s="31"/>
      <x:c r="I83" s="31"/>
      <x:c r="J83" s="31"/>
      <x:c r="K83" s="31"/>
      <x:c r="L83" s="31"/>
      <x:c r="M83" s="31"/>
      <x:c r="N83" s="24"/>
      <x:c r="O83" s="24"/>
      <x:c r="P83" s="24"/>
      <x:c r="Q83" s="21"/>
      <x:c r="R83" s="21"/>
      <x:c r="S83" s="21"/>
      <x:c r="T83" s="21"/>
      <x:c r="U83" s="21"/>
      <x:c r="V83" s="21"/>
      <x:c r="W83" s="21"/>
      <x:c r="X83" s="21"/>
      <x:c r="Y83" s="21"/>
      <x:c r="Z83" s="30" t="str">
        <x:f>IF(B83="","",IF(OR(U83&lt;&gt;"Sí",V83="X"),"Excluido",IF(OR(V83="D",V83="E",W83="Baja"),"Exploratorio","Principal")))</x:f>
      </x:c>
      <x:c r="AA83" s="33" t="n">
        <x:f>IF(OR(N83="",Q83=""),0,IF(T83="Inmediata",0,IF(Q83&lt;=0,0,IF(CASO!$E$6=0,N83*IF(T83="Constante",Q83,(Q83+1)/2),N83*IF(T83="Constante",((1-(1/(1+CASO!$E$6))^Q83)/(1-(1/(1+CASO!$E$6)))),((1-(1/(1+CASO!$E$6))^Q83)/(1-(1/(1+CASO!$E$6))))-(((1/(1+CASO!$E$6))-Q83*(1/(1+CASO!$E$6))^Q83+(Q83-1)*(1/(1+CASO!$E$6))^(Q83+1))/(1-(1/(1+CASO!$E$6)))^2)/Q83)))))</x:f>
        <x:v>0</x:v>
      </x:c>
      <x:c r="AB83" s="33" t="n">
        <x:f>IF(OR(O83="",R83=""),0,IF(T83="Inmediata",0,IF(R83&lt;=0,0,IF(CASO!$E$7=0,O83*IF(T83="Constante",R83,(R83+1)/2),O83*IF(T83="Constante",((1-(1/(1+CASO!$E$7))^R83)/(1-(1/(1+CASO!$E$7)))),((1-(1/(1+CASO!$E$7))^R83)/(1-(1/(1+CASO!$E$7))))-(((1/(1+CASO!$E$7))-R83*(1/(1+CASO!$E$7))^R83+(R83-1)*(1/(1+CASO!$E$7))^(R83+1))/(1-(1/(1+CASO!$E$7)))^2)/R83)))))</x:f>
        <x:v>0</x:v>
      </x:c>
      <x:c r="AC83" s="33" t="n">
        <x:f>IF(OR(P83="",S83=""),0,IF(T83="Inmediata",0,IF(S83&lt;=0,0,IF(CASO!$E$8=0,P83*IF(T83="Constante",S83,(S83+1)/2),P83*IF(T83="Constante",((1-(1/(1+CASO!$E$8))^S83)/(1-(1/(1+CASO!$E$8)))),((1-(1/(1+CASO!$E$8))^S83)/(1-(1/(1+CASO!$E$8))))-(((1/(1+CASO!$E$8))-S83*(1/(1+CASO!$E$8))^S83+(S83-1)*(1/(1+CASO!$E$8))^(S83+1))/(1-(1/(1+CASO!$E$8)))^2)/S83)))))</x:f>
        <x:v>0</x:v>
      </x:c>
      <x:c r="AD83" s="32" t="n">
        <x:f>IF(OR(Z83="",Z83="Excluido"),0,H83*K83*AA83)</x:f>
        <x:v>0</x:v>
      </x:c>
      <x:c r="AE83" s="32" t="n">
        <x:f>IF(OR(Z83="",Z83="Excluido"),0,I83*L83*AB83)</x:f>
        <x:v>0</x:v>
      </x:c>
      <x:c r="AF83" s="32" t="n">
        <x:f>IF(OR(Z83="",Z83="Excluido"),0,J83*M83*AC83)</x:f>
        <x:v>0</x:v>
      </x:c>
    </x:row>
    <x:row r="84">
      <x:c r="A84" s="21"/>
      <x:c r="B84" s="21"/>
      <x:c r="C84" s="21"/>
      <x:c r="D84" s="21"/>
      <x:c r="E84" s="21"/>
      <x:c r="F84" s="21"/>
      <x:c r="G84" s="21"/>
      <x:c r="H84" s="31"/>
      <x:c r="I84" s="31"/>
      <x:c r="J84" s="31"/>
      <x:c r="K84" s="31"/>
      <x:c r="L84" s="31"/>
      <x:c r="M84" s="31"/>
      <x:c r="N84" s="24"/>
      <x:c r="O84" s="24"/>
      <x:c r="P84" s="24"/>
      <x:c r="Q84" s="21"/>
      <x:c r="R84" s="21"/>
      <x:c r="S84" s="21"/>
      <x:c r="T84" s="21"/>
      <x:c r="U84" s="21"/>
      <x:c r="V84" s="21"/>
      <x:c r="W84" s="21"/>
      <x:c r="X84" s="21"/>
      <x:c r="Y84" s="21"/>
      <x:c r="Z84" s="30" t="str">
        <x:f>IF(B84="","",IF(OR(U84&lt;&gt;"Sí",V84="X"),"Excluido",IF(OR(V84="D",V84="E",W84="Baja"),"Exploratorio","Principal")))</x:f>
      </x:c>
      <x:c r="AA84" s="33" t="n">
        <x:f>IF(OR(N84="",Q84=""),0,IF(T84="Inmediata",0,IF(Q84&lt;=0,0,IF(CASO!$E$6=0,N84*IF(T84="Constante",Q84,(Q84+1)/2),N84*IF(T84="Constante",((1-(1/(1+CASO!$E$6))^Q84)/(1-(1/(1+CASO!$E$6)))),((1-(1/(1+CASO!$E$6))^Q84)/(1-(1/(1+CASO!$E$6))))-(((1/(1+CASO!$E$6))-Q84*(1/(1+CASO!$E$6))^Q84+(Q84-1)*(1/(1+CASO!$E$6))^(Q84+1))/(1-(1/(1+CASO!$E$6)))^2)/Q84)))))</x:f>
        <x:v>0</x:v>
      </x:c>
      <x:c r="AB84" s="33" t="n">
        <x:f>IF(OR(O84="",R84=""),0,IF(T84="Inmediata",0,IF(R84&lt;=0,0,IF(CASO!$E$7=0,O84*IF(T84="Constante",R84,(R84+1)/2),O84*IF(T84="Constante",((1-(1/(1+CASO!$E$7))^R84)/(1-(1/(1+CASO!$E$7)))),((1-(1/(1+CASO!$E$7))^R84)/(1-(1/(1+CASO!$E$7))))-(((1/(1+CASO!$E$7))-R84*(1/(1+CASO!$E$7))^R84+(R84-1)*(1/(1+CASO!$E$7))^(R84+1))/(1-(1/(1+CASO!$E$7)))^2)/R84)))))</x:f>
        <x:v>0</x:v>
      </x:c>
      <x:c r="AC84" s="33" t="n">
        <x:f>IF(OR(P84="",S84=""),0,IF(T84="Inmediata",0,IF(S84&lt;=0,0,IF(CASO!$E$8=0,P84*IF(T84="Constante",S84,(S84+1)/2),P84*IF(T84="Constante",((1-(1/(1+CASO!$E$8))^S84)/(1-(1/(1+CASO!$E$8)))),((1-(1/(1+CASO!$E$8))^S84)/(1-(1/(1+CASO!$E$8))))-(((1/(1+CASO!$E$8))-S84*(1/(1+CASO!$E$8))^S84+(S84-1)*(1/(1+CASO!$E$8))^(S84+1))/(1-(1/(1+CASO!$E$8)))^2)/S84)))))</x:f>
        <x:v>0</x:v>
      </x:c>
      <x:c r="AD84" s="32" t="n">
        <x:f>IF(OR(Z84="",Z84="Excluido"),0,H84*K84*AA84)</x:f>
        <x:v>0</x:v>
      </x:c>
      <x:c r="AE84" s="32" t="n">
        <x:f>IF(OR(Z84="",Z84="Excluido"),0,I84*L84*AB84)</x:f>
        <x:v>0</x:v>
      </x:c>
      <x:c r="AF84" s="32" t="n">
        <x:f>IF(OR(Z84="",Z84="Excluido"),0,J84*M84*AC84)</x:f>
        <x:v>0</x:v>
      </x:c>
    </x:row>
    <x:row r="85">
      <x:c r="A85" s="21"/>
      <x:c r="B85" s="21"/>
      <x:c r="C85" s="21"/>
      <x:c r="D85" s="21"/>
      <x:c r="E85" s="21"/>
      <x:c r="F85" s="21"/>
      <x:c r="G85" s="21"/>
      <x:c r="H85" s="31"/>
      <x:c r="I85" s="31"/>
      <x:c r="J85" s="31"/>
      <x:c r="K85" s="31"/>
      <x:c r="L85" s="31"/>
      <x:c r="M85" s="31"/>
      <x:c r="N85" s="24"/>
      <x:c r="O85" s="24"/>
      <x:c r="P85" s="24"/>
      <x:c r="Q85" s="21"/>
      <x:c r="R85" s="21"/>
      <x:c r="S85" s="21"/>
      <x:c r="T85" s="21"/>
      <x:c r="U85" s="21"/>
      <x:c r="V85" s="21"/>
      <x:c r="W85" s="21"/>
      <x:c r="X85" s="21"/>
      <x:c r="Y85" s="21"/>
      <x:c r="Z85" s="30" t="str">
        <x:f>IF(B85="","",IF(OR(U85&lt;&gt;"Sí",V85="X"),"Excluido",IF(OR(V85="D",V85="E",W85="Baja"),"Exploratorio","Principal")))</x:f>
      </x:c>
      <x:c r="AA85" s="33" t="n">
        <x:f>IF(OR(N85="",Q85=""),0,IF(T85="Inmediata",0,IF(Q85&lt;=0,0,IF(CASO!$E$6=0,N85*IF(T85="Constante",Q85,(Q85+1)/2),N85*IF(T85="Constante",((1-(1/(1+CASO!$E$6))^Q85)/(1-(1/(1+CASO!$E$6)))),((1-(1/(1+CASO!$E$6))^Q85)/(1-(1/(1+CASO!$E$6))))-(((1/(1+CASO!$E$6))-Q85*(1/(1+CASO!$E$6))^Q85+(Q85-1)*(1/(1+CASO!$E$6))^(Q85+1))/(1-(1/(1+CASO!$E$6)))^2)/Q85)))))</x:f>
        <x:v>0</x:v>
      </x:c>
      <x:c r="AB85" s="33" t="n">
        <x:f>IF(OR(O85="",R85=""),0,IF(T85="Inmediata",0,IF(R85&lt;=0,0,IF(CASO!$E$7=0,O85*IF(T85="Constante",R85,(R85+1)/2),O85*IF(T85="Constante",((1-(1/(1+CASO!$E$7))^R85)/(1-(1/(1+CASO!$E$7)))),((1-(1/(1+CASO!$E$7))^R85)/(1-(1/(1+CASO!$E$7))))-(((1/(1+CASO!$E$7))-R85*(1/(1+CASO!$E$7))^R85+(R85-1)*(1/(1+CASO!$E$7))^(R85+1))/(1-(1/(1+CASO!$E$7)))^2)/R85)))))</x:f>
        <x:v>0</x:v>
      </x:c>
      <x:c r="AC85" s="33" t="n">
        <x:f>IF(OR(P85="",S85=""),0,IF(T85="Inmediata",0,IF(S85&lt;=0,0,IF(CASO!$E$8=0,P85*IF(T85="Constante",S85,(S85+1)/2),P85*IF(T85="Constante",((1-(1/(1+CASO!$E$8))^S85)/(1-(1/(1+CASO!$E$8)))),((1-(1/(1+CASO!$E$8))^S85)/(1-(1/(1+CASO!$E$8))))-(((1/(1+CASO!$E$8))-S85*(1/(1+CASO!$E$8))^S85+(S85-1)*(1/(1+CASO!$E$8))^(S85+1))/(1-(1/(1+CASO!$E$8)))^2)/S85)))))</x:f>
        <x:v>0</x:v>
      </x:c>
      <x:c r="AD85" s="32" t="n">
        <x:f>IF(OR(Z85="",Z85="Excluido"),0,H85*K85*AA85)</x:f>
        <x:v>0</x:v>
      </x:c>
      <x:c r="AE85" s="32" t="n">
        <x:f>IF(OR(Z85="",Z85="Excluido"),0,I85*L85*AB85)</x:f>
        <x:v>0</x:v>
      </x:c>
      <x:c r="AF85" s="32" t="n">
        <x:f>IF(OR(Z85="",Z85="Excluido"),0,J85*M85*AC85)</x:f>
        <x:v>0</x:v>
      </x:c>
    </x:row>
    <x:row r="86">
      <x:c r="A86" s="21"/>
      <x:c r="B86" s="21"/>
      <x:c r="C86" s="21"/>
      <x:c r="D86" s="21"/>
      <x:c r="E86" s="21"/>
      <x:c r="F86" s="21"/>
      <x:c r="G86" s="21"/>
      <x:c r="H86" s="31"/>
      <x:c r="I86" s="31"/>
      <x:c r="J86" s="31"/>
      <x:c r="K86" s="31"/>
      <x:c r="L86" s="31"/>
      <x:c r="M86" s="31"/>
      <x:c r="N86" s="24"/>
      <x:c r="O86" s="24"/>
      <x:c r="P86" s="24"/>
      <x:c r="Q86" s="21"/>
      <x:c r="R86" s="21"/>
      <x:c r="S86" s="21"/>
      <x:c r="T86" s="21"/>
      <x:c r="U86" s="21"/>
      <x:c r="V86" s="21"/>
      <x:c r="W86" s="21"/>
      <x:c r="X86" s="21"/>
      <x:c r="Y86" s="21"/>
      <x:c r="Z86" s="30" t="str">
        <x:f>IF(B86="","",IF(OR(U86&lt;&gt;"Sí",V86="X"),"Excluido",IF(OR(V86="D",V86="E",W86="Baja"),"Exploratorio","Principal")))</x:f>
      </x:c>
      <x:c r="AA86" s="33" t="n">
        <x:f>IF(OR(N86="",Q86=""),0,IF(T86="Inmediata",0,IF(Q86&lt;=0,0,IF(CASO!$E$6=0,N86*IF(T86="Constante",Q86,(Q86+1)/2),N86*IF(T86="Constante",((1-(1/(1+CASO!$E$6))^Q86)/(1-(1/(1+CASO!$E$6)))),((1-(1/(1+CASO!$E$6))^Q86)/(1-(1/(1+CASO!$E$6))))-(((1/(1+CASO!$E$6))-Q86*(1/(1+CASO!$E$6))^Q86+(Q86-1)*(1/(1+CASO!$E$6))^(Q86+1))/(1-(1/(1+CASO!$E$6)))^2)/Q86)))))</x:f>
        <x:v>0</x:v>
      </x:c>
      <x:c r="AB86" s="33" t="n">
        <x:f>IF(OR(O86="",R86=""),0,IF(T86="Inmediata",0,IF(R86&lt;=0,0,IF(CASO!$E$7=0,O86*IF(T86="Constante",R86,(R86+1)/2),O86*IF(T86="Constante",((1-(1/(1+CASO!$E$7))^R86)/(1-(1/(1+CASO!$E$7)))),((1-(1/(1+CASO!$E$7))^R86)/(1-(1/(1+CASO!$E$7))))-(((1/(1+CASO!$E$7))-R86*(1/(1+CASO!$E$7))^R86+(R86-1)*(1/(1+CASO!$E$7))^(R86+1))/(1-(1/(1+CASO!$E$7)))^2)/R86)))))</x:f>
        <x:v>0</x:v>
      </x:c>
      <x:c r="AC86" s="33" t="n">
        <x:f>IF(OR(P86="",S86=""),0,IF(T86="Inmediata",0,IF(S86&lt;=0,0,IF(CASO!$E$8=0,P86*IF(T86="Constante",S86,(S86+1)/2),P86*IF(T86="Constante",((1-(1/(1+CASO!$E$8))^S86)/(1-(1/(1+CASO!$E$8)))),((1-(1/(1+CASO!$E$8))^S86)/(1-(1/(1+CASO!$E$8))))-(((1/(1+CASO!$E$8))-S86*(1/(1+CASO!$E$8))^S86+(S86-1)*(1/(1+CASO!$E$8))^(S86+1))/(1-(1/(1+CASO!$E$8)))^2)/S86)))))</x:f>
        <x:v>0</x:v>
      </x:c>
      <x:c r="AD86" s="32" t="n">
        <x:f>IF(OR(Z86="",Z86="Excluido"),0,H86*K86*AA86)</x:f>
        <x:v>0</x:v>
      </x:c>
      <x:c r="AE86" s="32" t="n">
        <x:f>IF(OR(Z86="",Z86="Excluido"),0,I86*L86*AB86)</x:f>
        <x:v>0</x:v>
      </x:c>
      <x:c r="AF86" s="32" t="n">
        <x:f>IF(OR(Z86="",Z86="Excluido"),0,J86*M86*AC86)</x:f>
        <x:v>0</x:v>
      </x:c>
    </x:row>
    <x:row r="87">
      <x:c r="A87" s="21"/>
      <x:c r="B87" s="21"/>
      <x:c r="C87" s="21"/>
      <x:c r="D87" s="21"/>
      <x:c r="E87" s="21"/>
      <x:c r="F87" s="21"/>
      <x:c r="G87" s="21"/>
      <x:c r="H87" s="31"/>
      <x:c r="I87" s="31"/>
      <x:c r="J87" s="31"/>
      <x:c r="K87" s="31"/>
      <x:c r="L87" s="31"/>
      <x:c r="M87" s="31"/>
      <x:c r="N87" s="24"/>
      <x:c r="O87" s="24"/>
      <x:c r="P87" s="24"/>
      <x:c r="Q87" s="21"/>
      <x:c r="R87" s="21"/>
      <x:c r="S87" s="21"/>
      <x:c r="T87" s="21"/>
      <x:c r="U87" s="21"/>
      <x:c r="V87" s="21"/>
      <x:c r="W87" s="21"/>
      <x:c r="X87" s="21"/>
      <x:c r="Y87" s="21"/>
      <x:c r="Z87" s="30" t="str">
        <x:f>IF(B87="","",IF(OR(U87&lt;&gt;"Sí",V87="X"),"Excluido",IF(OR(V87="D",V87="E",W87="Baja"),"Exploratorio","Principal")))</x:f>
      </x:c>
      <x:c r="AA87" s="33" t="n">
        <x:f>IF(OR(N87="",Q87=""),0,IF(T87="Inmediata",0,IF(Q87&lt;=0,0,IF(CASO!$E$6=0,N87*IF(T87="Constante",Q87,(Q87+1)/2),N87*IF(T87="Constante",((1-(1/(1+CASO!$E$6))^Q87)/(1-(1/(1+CASO!$E$6)))),((1-(1/(1+CASO!$E$6))^Q87)/(1-(1/(1+CASO!$E$6))))-(((1/(1+CASO!$E$6))-Q87*(1/(1+CASO!$E$6))^Q87+(Q87-1)*(1/(1+CASO!$E$6))^(Q87+1))/(1-(1/(1+CASO!$E$6)))^2)/Q87)))))</x:f>
        <x:v>0</x:v>
      </x:c>
      <x:c r="AB87" s="33" t="n">
        <x:f>IF(OR(O87="",R87=""),0,IF(T87="Inmediata",0,IF(R87&lt;=0,0,IF(CASO!$E$7=0,O87*IF(T87="Constante",R87,(R87+1)/2),O87*IF(T87="Constante",((1-(1/(1+CASO!$E$7))^R87)/(1-(1/(1+CASO!$E$7)))),((1-(1/(1+CASO!$E$7))^R87)/(1-(1/(1+CASO!$E$7))))-(((1/(1+CASO!$E$7))-R87*(1/(1+CASO!$E$7))^R87+(R87-1)*(1/(1+CASO!$E$7))^(R87+1))/(1-(1/(1+CASO!$E$7)))^2)/R87)))))</x:f>
        <x:v>0</x:v>
      </x:c>
      <x:c r="AC87" s="33" t="n">
        <x:f>IF(OR(P87="",S87=""),0,IF(T87="Inmediata",0,IF(S87&lt;=0,0,IF(CASO!$E$8=0,P87*IF(T87="Constante",S87,(S87+1)/2),P87*IF(T87="Constante",((1-(1/(1+CASO!$E$8))^S87)/(1-(1/(1+CASO!$E$8)))),((1-(1/(1+CASO!$E$8))^S87)/(1-(1/(1+CASO!$E$8))))-(((1/(1+CASO!$E$8))-S87*(1/(1+CASO!$E$8))^S87+(S87-1)*(1/(1+CASO!$E$8))^(S87+1))/(1-(1/(1+CASO!$E$8)))^2)/S87)))))</x:f>
        <x:v>0</x:v>
      </x:c>
      <x:c r="AD87" s="32" t="n">
        <x:f>IF(OR(Z87="",Z87="Excluido"),0,H87*K87*AA87)</x:f>
        <x:v>0</x:v>
      </x:c>
      <x:c r="AE87" s="32" t="n">
        <x:f>IF(OR(Z87="",Z87="Excluido"),0,I87*L87*AB87)</x:f>
        <x:v>0</x:v>
      </x:c>
      <x:c r="AF87" s="32" t="n">
        <x:f>IF(OR(Z87="",Z87="Excluido"),0,J87*M87*AC87)</x:f>
        <x:v>0</x:v>
      </x:c>
    </x:row>
    <x:row r="88">
      <x:c r="A88" s="21"/>
      <x:c r="B88" s="21"/>
      <x:c r="C88" s="21"/>
      <x:c r="D88" s="21"/>
      <x:c r="E88" s="21"/>
      <x:c r="F88" s="21"/>
      <x:c r="G88" s="21"/>
      <x:c r="H88" s="31"/>
      <x:c r="I88" s="31"/>
      <x:c r="J88" s="31"/>
      <x:c r="K88" s="31"/>
      <x:c r="L88" s="31"/>
      <x:c r="M88" s="31"/>
      <x:c r="N88" s="24"/>
      <x:c r="O88" s="24"/>
      <x:c r="P88" s="24"/>
      <x:c r="Q88" s="21"/>
      <x:c r="R88" s="21"/>
      <x:c r="S88" s="21"/>
      <x:c r="T88" s="21"/>
      <x:c r="U88" s="21"/>
      <x:c r="V88" s="21"/>
      <x:c r="W88" s="21"/>
      <x:c r="X88" s="21"/>
      <x:c r="Y88" s="21"/>
      <x:c r="Z88" s="30" t="str">
        <x:f>IF(B88="","",IF(OR(U88&lt;&gt;"Sí",V88="X"),"Excluido",IF(OR(V88="D",V88="E",W88="Baja"),"Exploratorio","Principal")))</x:f>
      </x:c>
      <x:c r="AA88" s="33" t="n">
        <x:f>IF(OR(N88="",Q88=""),0,IF(T88="Inmediata",0,IF(Q88&lt;=0,0,IF(CASO!$E$6=0,N88*IF(T88="Constante",Q88,(Q88+1)/2),N88*IF(T88="Constante",((1-(1/(1+CASO!$E$6))^Q88)/(1-(1/(1+CASO!$E$6)))),((1-(1/(1+CASO!$E$6))^Q88)/(1-(1/(1+CASO!$E$6))))-(((1/(1+CASO!$E$6))-Q88*(1/(1+CASO!$E$6))^Q88+(Q88-1)*(1/(1+CASO!$E$6))^(Q88+1))/(1-(1/(1+CASO!$E$6)))^2)/Q88)))))</x:f>
        <x:v>0</x:v>
      </x:c>
      <x:c r="AB88" s="33" t="n">
        <x:f>IF(OR(O88="",R88=""),0,IF(T88="Inmediata",0,IF(R88&lt;=0,0,IF(CASO!$E$7=0,O88*IF(T88="Constante",R88,(R88+1)/2),O88*IF(T88="Constante",((1-(1/(1+CASO!$E$7))^R88)/(1-(1/(1+CASO!$E$7)))),((1-(1/(1+CASO!$E$7))^R88)/(1-(1/(1+CASO!$E$7))))-(((1/(1+CASO!$E$7))-R88*(1/(1+CASO!$E$7))^R88+(R88-1)*(1/(1+CASO!$E$7))^(R88+1))/(1-(1/(1+CASO!$E$7)))^2)/R88)))))</x:f>
        <x:v>0</x:v>
      </x:c>
      <x:c r="AC88" s="33" t="n">
        <x:f>IF(OR(P88="",S88=""),0,IF(T88="Inmediata",0,IF(S88&lt;=0,0,IF(CASO!$E$8=0,P88*IF(T88="Constante",S88,(S88+1)/2),P88*IF(T88="Constante",((1-(1/(1+CASO!$E$8))^S88)/(1-(1/(1+CASO!$E$8)))),((1-(1/(1+CASO!$E$8))^S88)/(1-(1/(1+CASO!$E$8))))-(((1/(1+CASO!$E$8))-S88*(1/(1+CASO!$E$8))^S88+(S88-1)*(1/(1+CASO!$E$8))^(S88+1))/(1-(1/(1+CASO!$E$8)))^2)/S88)))))</x:f>
        <x:v>0</x:v>
      </x:c>
      <x:c r="AD88" s="32" t="n">
        <x:f>IF(OR(Z88="",Z88="Excluido"),0,H88*K88*AA88)</x:f>
        <x:v>0</x:v>
      </x:c>
      <x:c r="AE88" s="32" t="n">
        <x:f>IF(OR(Z88="",Z88="Excluido"),0,I88*L88*AB88)</x:f>
        <x:v>0</x:v>
      </x:c>
      <x:c r="AF88" s="32" t="n">
        <x:f>IF(OR(Z88="",Z88="Excluido"),0,J88*M88*AC88)</x:f>
        <x:v>0</x:v>
      </x:c>
    </x:row>
    <x:row r="89">
      <x:c r="A89" s="21"/>
      <x:c r="B89" s="21"/>
      <x:c r="C89" s="21"/>
      <x:c r="D89" s="21"/>
      <x:c r="E89" s="21"/>
      <x:c r="F89" s="21"/>
      <x:c r="G89" s="21"/>
      <x:c r="H89" s="31"/>
      <x:c r="I89" s="31"/>
      <x:c r="J89" s="31"/>
      <x:c r="K89" s="31"/>
      <x:c r="L89" s="31"/>
      <x:c r="M89" s="31"/>
      <x:c r="N89" s="24"/>
      <x:c r="O89" s="24"/>
      <x:c r="P89" s="24"/>
      <x:c r="Q89" s="21"/>
      <x:c r="R89" s="21"/>
      <x:c r="S89" s="21"/>
      <x:c r="T89" s="21"/>
      <x:c r="U89" s="21"/>
      <x:c r="V89" s="21"/>
      <x:c r="W89" s="21"/>
      <x:c r="X89" s="21"/>
      <x:c r="Y89" s="21"/>
      <x:c r="Z89" s="30" t="str">
        <x:f>IF(B89="","",IF(OR(U89&lt;&gt;"Sí",V89="X"),"Excluido",IF(OR(V89="D",V89="E",W89="Baja"),"Exploratorio","Principal")))</x:f>
      </x:c>
      <x:c r="AA89" s="33" t="n">
        <x:f>IF(OR(N89="",Q89=""),0,IF(T89="Inmediata",0,IF(Q89&lt;=0,0,IF(CASO!$E$6=0,N89*IF(T89="Constante",Q89,(Q89+1)/2),N89*IF(T89="Constante",((1-(1/(1+CASO!$E$6))^Q89)/(1-(1/(1+CASO!$E$6)))),((1-(1/(1+CASO!$E$6))^Q89)/(1-(1/(1+CASO!$E$6))))-(((1/(1+CASO!$E$6))-Q89*(1/(1+CASO!$E$6))^Q89+(Q89-1)*(1/(1+CASO!$E$6))^(Q89+1))/(1-(1/(1+CASO!$E$6)))^2)/Q89)))))</x:f>
        <x:v>0</x:v>
      </x:c>
      <x:c r="AB89" s="33" t="n">
        <x:f>IF(OR(O89="",R89=""),0,IF(T89="Inmediata",0,IF(R89&lt;=0,0,IF(CASO!$E$7=0,O89*IF(T89="Constante",R89,(R89+1)/2),O89*IF(T89="Constante",((1-(1/(1+CASO!$E$7))^R89)/(1-(1/(1+CASO!$E$7)))),((1-(1/(1+CASO!$E$7))^R89)/(1-(1/(1+CASO!$E$7))))-(((1/(1+CASO!$E$7))-R89*(1/(1+CASO!$E$7))^R89+(R89-1)*(1/(1+CASO!$E$7))^(R89+1))/(1-(1/(1+CASO!$E$7)))^2)/R89)))))</x:f>
        <x:v>0</x:v>
      </x:c>
      <x:c r="AC89" s="33" t="n">
        <x:f>IF(OR(P89="",S89=""),0,IF(T89="Inmediata",0,IF(S89&lt;=0,0,IF(CASO!$E$8=0,P89*IF(T89="Constante",S89,(S89+1)/2),P89*IF(T89="Constante",((1-(1/(1+CASO!$E$8))^S89)/(1-(1/(1+CASO!$E$8)))),((1-(1/(1+CASO!$E$8))^S89)/(1-(1/(1+CASO!$E$8))))-(((1/(1+CASO!$E$8))-S89*(1/(1+CASO!$E$8))^S89+(S89-1)*(1/(1+CASO!$E$8))^(S89+1))/(1-(1/(1+CASO!$E$8)))^2)/S89)))))</x:f>
        <x:v>0</x:v>
      </x:c>
      <x:c r="AD89" s="32" t="n">
        <x:f>IF(OR(Z89="",Z89="Excluido"),0,H89*K89*AA89)</x:f>
        <x:v>0</x:v>
      </x:c>
      <x:c r="AE89" s="32" t="n">
        <x:f>IF(OR(Z89="",Z89="Excluido"),0,I89*L89*AB89)</x:f>
        <x:v>0</x:v>
      </x:c>
      <x:c r="AF89" s="32" t="n">
        <x:f>IF(OR(Z89="",Z89="Excluido"),0,J89*M89*AC89)</x:f>
        <x:v>0</x:v>
      </x:c>
    </x:row>
    <x:row r="90">
      <x:c r="A90" s="21"/>
      <x:c r="B90" s="21"/>
      <x:c r="C90" s="21"/>
      <x:c r="D90" s="21"/>
      <x:c r="E90" s="21"/>
      <x:c r="F90" s="21"/>
      <x:c r="G90" s="21"/>
      <x:c r="H90" s="31"/>
      <x:c r="I90" s="31"/>
      <x:c r="J90" s="31"/>
      <x:c r="K90" s="31"/>
      <x:c r="L90" s="31"/>
      <x:c r="M90" s="31"/>
      <x:c r="N90" s="24"/>
      <x:c r="O90" s="24"/>
      <x:c r="P90" s="24"/>
      <x:c r="Q90" s="21"/>
      <x:c r="R90" s="21"/>
      <x:c r="S90" s="21"/>
      <x:c r="T90" s="21"/>
      <x:c r="U90" s="21"/>
      <x:c r="V90" s="21"/>
      <x:c r="W90" s="21"/>
      <x:c r="X90" s="21"/>
      <x:c r="Y90" s="21"/>
      <x:c r="Z90" s="30" t="str">
        <x:f>IF(B90="","",IF(OR(U90&lt;&gt;"Sí",V90="X"),"Excluido",IF(OR(V90="D",V90="E",W90="Baja"),"Exploratorio","Principal")))</x:f>
      </x:c>
      <x:c r="AA90" s="33" t="n">
        <x:f>IF(OR(N90="",Q90=""),0,IF(T90="Inmediata",0,IF(Q90&lt;=0,0,IF(CASO!$E$6=0,N90*IF(T90="Constante",Q90,(Q90+1)/2),N90*IF(T90="Constante",((1-(1/(1+CASO!$E$6))^Q90)/(1-(1/(1+CASO!$E$6)))),((1-(1/(1+CASO!$E$6))^Q90)/(1-(1/(1+CASO!$E$6))))-(((1/(1+CASO!$E$6))-Q90*(1/(1+CASO!$E$6))^Q90+(Q90-1)*(1/(1+CASO!$E$6))^(Q90+1))/(1-(1/(1+CASO!$E$6)))^2)/Q90)))))</x:f>
        <x:v>0</x:v>
      </x:c>
      <x:c r="AB90" s="33" t="n">
        <x:f>IF(OR(O90="",R90=""),0,IF(T90="Inmediata",0,IF(R90&lt;=0,0,IF(CASO!$E$7=0,O90*IF(T90="Constante",R90,(R90+1)/2),O90*IF(T90="Constante",((1-(1/(1+CASO!$E$7))^R90)/(1-(1/(1+CASO!$E$7)))),((1-(1/(1+CASO!$E$7))^R90)/(1-(1/(1+CASO!$E$7))))-(((1/(1+CASO!$E$7))-R90*(1/(1+CASO!$E$7))^R90+(R90-1)*(1/(1+CASO!$E$7))^(R90+1))/(1-(1/(1+CASO!$E$7)))^2)/R90)))))</x:f>
        <x:v>0</x:v>
      </x:c>
      <x:c r="AC90" s="33" t="n">
        <x:f>IF(OR(P90="",S90=""),0,IF(T90="Inmediata",0,IF(S90&lt;=0,0,IF(CASO!$E$8=0,P90*IF(T90="Constante",S90,(S90+1)/2),P90*IF(T90="Constante",((1-(1/(1+CASO!$E$8))^S90)/(1-(1/(1+CASO!$E$8)))),((1-(1/(1+CASO!$E$8))^S90)/(1-(1/(1+CASO!$E$8))))-(((1/(1+CASO!$E$8))-S90*(1/(1+CASO!$E$8))^S90+(S90-1)*(1/(1+CASO!$E$8))^(S90+1))/(1-(1/(1+CASO!$E$8)))^2)/S90)))))</x:f>
        <x:v>0</x:v>
      </x:c>
      <x:c r="AD90" s="32" t="n">
        <x:f>IF(OR(Z90="",Z90="Excluido"),0,H90*K90*AA90)</x:f>
        <x:v>0</x:v>
      </x:c>
      <x:c r="AE90" s="32" t="n">
        <x:f>IF(OR(Z90="",Z90="Excluido"),0,I90*L90*AB90)</x:f>
        <x:v>0</x:v>
      </x:c>
      <x:c r="AF90" s="32" t="n">
        <x:f>IF(OR(Z90="",Z90="Excluido"),0,J90*M90*AC90)</x:f>
        <x:v>0</x:v>
      </x:c>
    </x:row>
    <x:row r="91">
      <x:c r="A91" s="21"/>
      <x:c r="B91" s="21"/>
      <x:c r="C91" s="21"/>
      <x:c r="D91" s="21"/>
      <x:c r="E91" s="21"/>
      <x:c r="F91" s="21"/>
      <x:c r="G91" s="21"/>
      <x:c r="H91" s="31"/>
      <x:c r="I91" s="31"/>
      <x:c r="J91" s="31"/>
      <x:c r="K91" s="31"/>
      <x:c r="L91" s="31"/>
      <x:c r="M91" s="31"/>
      <x:c r="N91" s="24"/>
      <x:c r="O91" s="24"/>
      <x:c r="P91" s="24"/>
      <x:c r="Q91" s="21"/>
      <x:c r="R91" s="21"/>
      <x:c r="S91" s="21"/>
      <x:c r="T91" s="21"/>
      <x:c r="U91" s="21"/>
      <x:c r="V91" s="21"/>
      <x:c r="W91" s="21"/>
      <x:c r="X91" s="21"/>
      <x:c r="Y91" s="21"/>
      <x:c r="Z91" s="30" t="str">
        <x:f>IF(B91="","",IF(OR(U91&lt;&gt;"Sí",V91="X"),"Excluido",IF(OR(V91="D",V91="E",W91="Baja"),"Exploratorio","Principal")))</x:f>
      </x:c>
      <x:c r="AA91" s="33" t="n">
        <x:f>IF(OR(N91="",Q91=""),0,IF(T91="Inmediata",0,IF(Q91&lt;=0,0,IF(CASO!$E$6=0,N91*IF(T91="Constante",Q91,(Q91+1)/2),N91*IF(T91="Constante",((1-(1/(1+CASO!$E$6))^Q91)/(1-(1/(1+CASO!$E$6)))),((1-(1/(1+CASO!$E$6))^Q91)/(1-(1/(1+CASO!$E$6))))-(((1/(1+CASO!$E$6))-Q91*(1/(1+CASO!$E$6))^Q91+(Q91-1)*(1/(1+CASO!$E$6))^(Q91+1))/(1-(1/(1+CASO!$E$6)))^2)/Q91)))))</x:f>
        <x:v>0</x:v>
      </x:c>
      <x:c r="AB91" s="33" t="n">
        <x:f>IF(OR(O91="",R91=""),0,IF(T91="Inmediata",0,IF(R91&lt;=0,0,IF(CASO!$E$7=0,O91*IF(T91="Constante",R91,(R91+1)/2),O91*IF(T91="Constante",((1-(1/(1+CASO!$E$7))^R91)/(1-(1/(1+CASO!$E$7)))),((1-(1/(1+CASO!$E$7))^R91)/(1-(1/(1+CASO!$E$7))))-(((1/(1+CASO!$E$7))-R91*(1/(1+CASO!$E$7))^R91+(R91-1)*(1/(1+CASO!$E$7))^(R91+1))/(1-(1/(1+CASO!$E$7)))^2)/R91)))))</x:f>
        <x:v>0</x:v>
      </x:c>
      <x:c r="AC91" s="33" t="n">
        <x:f>IF(OR(P91="",S91=""),0,IF(T91="Inmediata",0,IF(S91&lt;=0,0,IF(CASO!$E$8=0,P91*IF(T91="Constante",S91,(S91+1)/2),P91*IF(T91="Constante",((1-(1/(1+CASO!$E$8))^S91)/(1-(1/(1+CASO!$E$8)))),((1-(1/(1+CASO!$E$8))^S91)/(1-(1/(1+CASO!$E$8))))-(((1/(1+CASO!$E$8))-S91*(1/(1+CASO!$E$8))^S91+(S91-1)*(1/(1+CASO!$E$8))^(S91+1))/(1-(1/(1+CASO!$E$8)))^2)/S91)))))</x:f>
        <x:v>0</x:v>
      </x:c>
      <x:c r="AD91" s="32" t="n">
        <x:f>IF(OR(Z91="",Z91="Excluido"),0,H91*K91*AA91)</x:f>
        <x:v>0</x:v>
      </x:c>
      <x:c r="AE91" s="32" t="n">
        <x:f>IF(OR(Z91="",Z91="Excluido"),0,I91*L91*AB91)</x:f>
        <x:v>0</x:v>
      </x:c>
      <x:c r="AF91" s="32" t="n">
        <x:f>IF(OR(Z91="",Z91="Excluido"),0,J91*M91*AC91)</x:f>
        <x:v>0</x:v>
      </x:c>
    </x:row>
    <x:row r="92">
      <x:c r="A92" s="21"/>
      <x:c r="B92" s="21"/>
      <x:c r="C92" s="21"/>
      <x:c r="D92" s="21"/>
      <x:c r="E92" s="21"/>
      <x:c r="F92" s="21"/>
      <x:c r="G92" s="21"/>
      <x:c r="H92" s="31"/>
      <x:c r="I92" s="31"/>
      <x:c r="J92" s="31"/>
      <x:c r="K92" s="31"/>
      <x:c r="L92" s="31"/>
      <x:c r="M92" s="31"/>
      <x:c r="N92" s="24"/>
      <x:c r="O92" s="24"/>
      <x:c r="P92" s="24"/>
      <x:c r="Q92" s="21"/>
      <x:c r="R92" s="21"/>
      <x:c r="S92" s="21"/>
      <x:c r="T92" s="21"/>
      <x:c r="U92" s="21"/>
      <x:c r="V92" s="21"/>
      <x:c r="W92" s="21"/>
      <x:c r="X92" s="21"/>
      <x:c r="Y92" s="21"/>
      <x:c r="Z92" s="30" t="str">
        <x:f>IF(B92="","",IF(OR(U92&lt;&gt;"Sí",V92="X"),"Excluido",IF(OR(V92="D",V92="E",W92="Baja"),"Exploratorio","Principal")))</x:f>
      </x:c>
      <x:c r="AA92" s="33" t="n">
        <x:f>IF(OR(N92="",Q92=""),0,IF(T92="Inmediata",0,IF(Q92&lt;=0,0,IF(CASO!$E$6=0,N92*IF(T92="Constante",Q92,(Q92+1)/2),N92*IF(T92="Constante",((1-(1/(1+CASO!$E$6))^Q92)/(1-(1/(1+CASO!$E$6)))),((1-(1/(1+CASO!$E$6))^Q92)/(1-(1/(1+CASO!$E$6))))-(((1/(1+CASO!$E$6))-Q92*(1/(1+CASO!$E$6))^Q92+(Q92-1)*(1/(1+CASO!$E$6))^(Q92+1))/(1-(1/(1+CASO!$E$6)))^2)/Q92)))))</x:f>
        <x:v>0</x:v>
      </x:c>
      <x:c r="AB92" s="33" t="n">
        <x:f>IF(OR(O92="",R92=""),0,IF(T92="Inmediata",0,IF(R92&lt;=0,0,IF(CASO!$E$7=0,O92*IF(T92="Constante",R92,(R92+1)/2),O92*IF(T92="Constante",((1-(1/(1+CASO!$E$7))^R92)/(1-(1/(1+CASO!$E$7)))),((1-(1/(1+CASO!$E$7))^R92)/(1-(1/(1+CASO!$E$7))))-(((1/(1+CASO!$E$7))-R92*(1/(1+CASO!$E$7))^R92+(R92-1)*(1/(1+CASO!$E$7))^(R92+1))/(1-(1/(1+CASO!$E$7)))^2)/R92)))))</x:f>
        <x:v>0</x:v>
      </x:c>
      <x:c r="AC92" s="33" t="n">
        <x:f>IF(OR(P92="",S92=""),0,IF(T92="Inmediata",0,IF(S92&lt;=0,0,IF(CASO!$E$8=0,P92*IF(T92="Constante",S92,(S92+1)/2),P92*IF(T92="Constante",((1-(1/(1+CASO!$E$8))^S92)/(1-(1/(1+CASO!$E$8)))),((1-(1/(1+CASO!$E$8))^S92)/(1-(1/(1+CASO!$E$8))))-(((1/(1+CASO!$E$8))-S92*(1/(1+CASO!$E$8))^S92+(S92-1)*(1/(1+CASO!$E$8))^(S92+1))/(1-(1/(1+CASO!$E$8)))^2)/S92)))))</x:f>
        <x:v>0</x:v>
      </x:c>
      <x:c r="AD92" s="32" t="n">
        <x:f>IF(OR(Z92="",Z92="Excluido"),0,H92*K92*AA92)</x:f>
        <x:v>0</x:v>
      </x:c>
      <x:c r="AE92" s="32" t="n">
        <x:f>IF(OR(Z92="",Z92="Excluido"),0,I92*L92*AB92)</x:f>
        <x:v>0</x:v>
      </x:c>
      <x:c r="AF92" s="32" t="n">
        <x:f>IF(OR(Z92="",Z92="Excluido"),0,J92*M92*AC92)</x:f>
        <x:v>0</x:v>
      </x:c>
    </x:row>
    <x:row r="93">
      <x:c r="A93" s="21"/>
      <x:c r="B93" s="21"/>
      <x:c r="C93" s="21"/>
      <x:c r="D93" s="21"/>
      <x:c r="E93" s="21"/>
      <x:c r="F93" s="21"/>
      <x:c r="G93" s="21"/>
      <x:c r="H93" s="31"/>
      <x:c r="I93" s="31"/>
      <x:c r="J93" s="31"/>
      <x:c r="K93" s="31"/>
      <x:c r="L93" s="31"/>
      <x:c r="M93" s="31"/>
      <x:c r="N93" s="24"/>
      <x:c r="O93" s="24"/>
      <x:c r="P93" s="24"/>
      <x:c r="Q93" s="21"/>
      <x:c r="R93" s="21"/>
      <x:c r="S93" s="21"/>
      <x:c r="T93" s="21"/>
      <x:c r="U93" s="21"/>
      <x:c r="V93" s="21"/>
      <x:c r="W93" s="21"/>
      <x:c r="X93" s="21"/>
      <x:c r="Y93" s="21"/>
      <x:c r="Z93" s="30" t="str">
        <x:f>IF(B93="","",IF(OR(U93&lt;&gt;"Sí",V93="X"),"Excluido",IF(OR(V93="D",V93="E",W93="Baja"),"Exploratorio","Principal")))</x:f>
      </x:c>
      <x:c r="AA93" s="33" t="n">
        <x:f>IF(OR(N93="",Q93=""),0,IF(T93="Inmediata",0,IF(Q93&lt;=0,0,IF(CASO!$E$6=0,N93*IF(T93="Constante",Q93,(Q93+1)/2),N93*IF(T93="Constante",((1-(1/(1+CASO!$E$6))^Q93)/(1-(1/(1+CASO!$E$6)))),((1-(1/(1+CASO!$E$6))^Q93)/(1-(1/(1+CASO!$E$6))))-(((1/(1+CASO!$E$6))-Q93*(1/(1+CASO!$E$6))^Q93+(Q93-1)*(1/(1+CASO!$E$6))^(Q93+1))/(1-(1/(1+CASO!$E$6)))^2)/Q93)))))</x:f>
        <x:v>0</x:v>
      </x:c>
      <x:c r="AB93" s="33" t="n">
        <x:f>IF(OR(O93="",R93=""),0,IF(T93="Inmediata",0,IF(R93&lt;=0,0,IF(CASO!$E$7=0,O93*IF(T93="Constante",R93,(R93+1)/2),O93*IF(T93="Constante",((1-(1/(1+CASO!$E$7))^R93)/(1-(1/(1+CASO!$E$7)))),((1-(1/(1+CASO!$E$7))^R93)/(1-(1/(1+CASO!$E$7))))-(((1/(1+CASO!$E$7))-R93*(1/(1+CASO!$E$7))^R93+(R93-1)*(1/(1+CASO!$E$7))^(R93+1))/(1-(1/(1+CASO!$E$7)))^2)/R93)))))</x:f>
        <x:v>0</x:v>
      </x:c>
      <x:c r="AC93" s="33" t="n">
        <x:f>IF(OR(P93="",S93=""),0,IF(T93="Inmediata",0,IF(S93&lt;=0,0,IF(CASO!$E$8=0,P93*IF(T93="Constante",S93,(S93+1)/2),P93*IF(T93="Constante",((1-(1/(1+CASO!$E$8))^S93)/(1-(1/(1+CASO!$E$8)))),((1-(1/(1+CASO!$E$8))^S93)/(1-(1/(1+CASO!$E$8))))-(((1/(1+CASO!$E$8))-S93*(1/(1+CASO!$E$8))^S93+(S93-1)*(1/(1+CASO!$E$8))^(S93+1))/(1-(1/(1+CASO!$E$8)))^2)/S93)))))</x:f>
        <x:v>0</x:v>
      </x:c>
      <x:c r="AD93" s="32" t="n">
        <x:f>IF(OR(Z93="",Z93="Excluido"),0,H93*K93*AA93)</x:f>
        <x:v>0</x:v>
      </x:c>
      <x:c r="AE93" s="32" t="n">
        <x:f>IF(OR(Z93="",Z93="Excluido"),0,I93*L93*AB93)</x:f>
        <x:v>0</x:v>
      </x:c>
      <x:c r="AF93" s="32" t="n">
        <x:f>IF(OR(Z93="",Z93="Excluido"),0,J93*M93*AC93)</x:f>
        <x:v>0</x:v>
      </x:c>
    </x:row>
    <x:row r="94">
      <x:c r="A94" s="21"/>
      <x:c r="B94" s="21"/>
      <x:c r="C94" s="21"/>
      <x:c r="D94" s="21"/>
      <x:c r="E94" s="21"/>
      <x:c r="F94" s="21"/>
      <x:c r="G94" s="21"/>
      <x:c r="H94" s="31"/>
      <x:c r="I94" s="31"/>
      <x:c r="J94" s="31"/>
      <x:c r="K94" s="31"/>
      <x:c r="L94" s="31"/>
      <x:c r="M94" s="31"/>
      <x:c r="N94" s="24"/>
      <x:c r="O94" s="24"/>
      <x:c r="P94" s="24"/>
      <x:c r="Q94" s="21"/>
      <x:c r="R94" s="21"/>
      <x:c r="S94" s="21"/>
      <x:c r="T94" s="21"/>
      <x:c r="U94" s="21"/>
      <x:c r="V94" s="21"/>
      <x:c r="W94" s="21"/>
      <x:c r="X94" s="21"/>
      <x:c r="Y94" s="21"/>
      <x:c r="Z94" s="30" t="str">
        <x:f>IF(B94="","",IF(OR(U94&lt;&gt;"Sí",V94="X"),"Excluido",IF(OR(V94="D",V94="E",W94="Baja"),"Exploratorio","Principal")))</x:f>
      </x:c>
      <x:c r="AA94" s="33" t="n">
        <x:f>IF(OR(N94="",Q94=""),0,IF(T94="Inmediata",0,IF(Q94&lt;=0,0,IF(CASO!$E$6=0,N94*IF(T94="Constante",Q94,(Q94+1)/2),N94*IF(T94="Constante",((1-(1/(1+CASO!$E$6))^Q94)/(1-(1/(1+CASO!$E$6)))),((1-(1/(1+CASO!$E$6))^Q94)/(1-(1/(1+CASO!$E$6))))-(((1/(1+CASO!$E$6))-Q94*(1/(1+CASO!$E$6))^Q94+(Q94-1)*(1/(1+CASO!$E$6))^(Q94+1))/(1-(1/(1+CASO!$E$6)))^2)/Q94)))))</x:f>
        <x:v>0</x:v>
      </x:c>
      <x:c r="AB94" s="33" t="n">
        <x:f>IF(OR(O94="",R94=""),0,IF(T94="Inmediata",0,IF(R94&lt;=0,0,IF(CASO!$E$7=0,O94*IF(T94="Constante",R94,(R94+1)/2),O94*IF(T94="Constante",((1-(1/(1+CASO!$E$7))^R94)/(1-(1/(1+CASO!$E$7)))),((1-(1/(1+CASO!$E$7))^R94)/(1-(1/(1+CASO!$E$7))))-(((1/(1+CASO!$E$7))-R94*(1/(1+CASO!$E$7))^R94+(R94-1)*(1/(1+CASO!$E$7))^(R94+1))/(1-(1/(1+CASO!$E$7)))^2)/R94)))))</x:f>
        <x:v>0</x:v>
      </x:c>
      <x:c r="AC94" s="33" t="n">
        <x:f>IF(OR(P94="",S94=""),0,IF(T94="Inmediata",0,IF(S94&lt;=0,0,IF(CASO!$E$8=0,P94*IF(T94="Constante",S94,(S94+1)/2),P94*IF(T94="Constante",((1-(1/(1+CASO!$E$8))^S94)/(1-(1/(1+CASO!$E$8)))),((1-(1/(1+CASO!$E$8))^S94)/(1-(1/(1+CASO!$E$8))))-(((1/(1+CASO!$E$8))-S94*(1/(1+CASO!$E$8))^S94+(S94-1)*(1/(1+CASO!$E$8))^(S94+1))/(1-(1/(1+CASO!$E$8)))^2)/S94)))))</x:f>
        <x:v>0</x:v>
      </x:c>
      <x:c r="AD94" s="32" t="n">
        <x:f>IF(OR(Z94="",Z94="Excluido"),0,H94*K94*AA94)</x:f>
        <x:v>0</x:v>
      </x:c>
      <x:c r="AE94" s="32" t="n">
        <x:f>IF(OR(Z94="",Z94="Excluido"),0,I94*L94*AB94)</x:f>
        <x:v>0</x:v>
      </x:c>
      <x:c r="AF94" s="32" t="n">
        <x:f>IF(OR(Z94="",Z94="Excluido"),0,J94*M94*AC94)</x:f>
        <x:v>0</x:v>
      </x:c>
    </x:row>
    <x:row r="95">
      <x:c r="A95" s="21"/>
      <x:c r="B95" s="21"/>
      <x:c r="C95" s="21"/>
      <x:c r="D95" s="21"/>
      <x:c r="E95" s="21"/>
      <x:c r="F95" s="21"/>
      <x:c r="G95" s="21"/>
      <x:c r="H95" s="31"/>
      <x:c r="I95" s="31"/>
      <x:c r="J95" s="31"/>
      <x:c r="K95" s="31"/>
      <x:c r="L95" s="31"/>
      <x:c r="M95" s="31"/>
      <x:c r="N95" s="24"/>
      <x:c r="O95" s="24"/>
      <x:c r="P95" s="24"/>
      <x:c r="Q95" s="21"/>
      <x:c r="R95" s="21"/>
      <x:c r="S95" s="21"/>
      <x:c r="T95" s="21"/>
      <x:c r="U95" s="21"/>
      <x:c r="V95" s="21"/>
      <x:c r="W95" s="21"/>
      <x:c r="X95" s="21"/>
      <x:c r="Y95" s="21"/>
      <x:c r="Z95" s="30" t="str">
        <x:f>IF(B95="","",IF(OR(U95&lt;&gt;"Sí",V95="X"),"Excluido",IF(OR(V95="D",V95="E",W95="Baja"),"Exploratorio","Principal")))</x:f>
      </x:c>
      <x:c r="AA95" s="33" t="n">
        <x:f>IF(OR(N95="",Q95=""),0,IF(T95="Inmediata",0,IF(Q95&lt;=0,0,IF(CASO!$E$6=0,N95*IF(T95="Constante",Q95,(Q95+1)/2),N95*IF(T95="Constante",((1-(1/(1+CASO!$E$6))^Q95)/(1-(1/(1+CASO!$E$6)))),((1-(1/(1+CASO!$E$6))^Q95)/(1-(1/(1+CASO!$E$6))))-(((1/(1+CASO!$E$6))-Q95*(1/(1+CASO!$E$6))^Q95+(Q95-1)*(1/(1+CASO!$E$6))^(Q95+1))/(1-(1/(1+CASO!$E$6)))^2)/Q95)))))</x:f>
        <x:v>0</x:v>
      </x:c>
      <x:c r="AB95" s="33" t="n">
        <x:f>IF(OR(O95="",R95=""),0,IF(T95="Inmediata",0,IF(R95&lt;=0,0,IF(CASO!$E$7=0,O95*IF(T95="Constante",R95,(R95+1)/2),O95*IF(T95="Constante",((1-(1/(1+CASO!$E$7))^R95)/(1-(1/(1+CASO!$E$7)))),((1-(1/(1+CASO!$E$7))^R95)/(1-(1/(1+CASO!$E$7))))-(((1/(1+CASO!$E$7))-R95*(1/(1+CASO!$E$7))^R95+(R95-1)*(1/(1+CASO!$E$7))^(R95+1))/(1-(1/(1+CASO!$E$7)))^2)/R95)))))</x:f>
        <x:v>0</x:v>
      </x:c>
      <x:c r="AC95" s="33" t="n">
        <x:f>IF(OR(P95="",S95=""),0,IF(T95="Inmediata",0,IF(S95&lt;=0,0,IF(CASO!$E$8=0,P95*IF(T95="Constante",S95,(S95+1)/2),P95*IF(T95="Constante",((1-(1/(1+CASO!$E$8))^S95)/(1-(1/(1+CASO!$E$8)))),((1-(1/(1+CASO!$E$8))^S95)/(1-(1/(1+CASO!$E$8))))-(((1/(1+CASO!$E$8))-S95*(1/(1+CASO!$E$8))^S95+(S95-1)*(1/(1+CASO!$E$8))^(S95+1))/(1-(1/(1+CASO!$E$8)))^2)/S95)))))</x:f>
        <x:v>0</x:v>
      </x:c>
      <x:c r="AD95" s="32" t="n">
        <x:f>IF(OR(Z95="",Z95="Excluido"),0,H95*K95*AA95)</x:f>
        <x:v>0</x:v>
      </x:c>
      <x:c r="AE95" s="32" t="n">
        <x:f>IF(OR(Z95="",Z95="Excluido"),0,I95*L95*AB95)</x:f>
        <x:v>0</x:v>
      </x:c>
      <x:c r="AF95" s="32" t="n">
        <x:f>IF(OR(Z95="",Z95="Excluido"),0,J95*M95*AC95)</x:f>
        <x:v>0</x:v>
      </x:c>
    </x:row>
    <x:row r="96">
      <x:c r="A96" s="21"/>
      <x:c r="B96" s="21"/>
      <x:c r="C96" s="21"/>
      <x:c r="D96" s="21"/>
      <x:c r="E96" s="21"/>
      <x:c r="F96" s="21"/>
      <x:c r="G96" s="21"/>
      <x:c r="H96" s="31"/>
      <x:c r="I96" s="31"/>
      <x:c r="J96" s="31"/>
      <x:c r="K96" s="31"/>
      <x:c r="L96" s="31"/>
      <x:c r="M96" s="31"/>
      <x:c r="N96" s="24"/>
      <x:c r="O96" s="24"/>
      <x:c r="P96" s="24"/>
      <x:c r="Q96" s="21"/>
      <x:c r="R96" s="21"/>
      <x:c r="S96" s="21"/>
      <x:c r="T96" s="21"/>
      <x:c r="U96" s="21"/>
      <x:c r="V96" s="21"/>
      <x:c r="W96" s="21"/>
      <x:c r="X96" s="21"/>
      <x:c r="Y96" s="21"/>
      <x:c r="Z96" s="30" t="str">
        <x:f>IF(B96="","",IF(OR(U96&lt;&gt;"Sí",V96="X"),"Excluido",IF(OR(V96="D",V96="E",W96="Baja"),"Exploratorio","Principal")))</x:f>
      </x:c>
      <x:c r="AA96" s="33" t="n">
        <x:f>IF(OR(N96="",Q96=""),0,IF(T96="Inmediata",0,IF(Q96&lt;=0,0,IF(CASO!$E$6=0,N96*IF(T96="Constante",Q96,(Q96+1)/2),N96*IF(T96="Constante",((1-(1/(1+CASO!$E$6))^Q96)/(1-(1/(1+CASO!$E$6)))),((1-(1/(1+CASO!$E$6))^Q96)/(1-(1/(1+CASO!$E$6))))-(((1/(1+CASO!$E$6))-Q96*(1/(1+CASO!$E$6))^Q96+(Q96-1)*(1/(1+CASO!$E$6))^(Q96+1))/(1-(1/(1+CASO!$E$6)))^2)/Q96)))))</x:f>
        <x:v>0</x:v>
      </x:c>
      <x:c r="AB96" s="33" t="n">
        <x:f>IF(OR(O96="",R96=""),0,IF(T96="Inmediata",0,IF(R96&lt;=0,0,IF(CASO!$E$7=0,O96*IF(T96="Constante",R96,(R96+1)/2),O96*IF(T96="Constante",((1-(1/(1+CASO!$E$7))^R96)/(1-(1/(1+CASO!$E$7)))),((1-(1/(1+CASO!$E$7))^R96)/(1-(1/(1+CASO!$E$7))))-(((1/(1+CASO!$E$7))-R96*(1/(1+CASO!$E$7))^R96+(R96-1)*(1/(1+CASO!$E$7))^(R96+1))/(1-(1/(1+CASO!$E$7)))^2)/R96)))))</x:f>
        <x:v>0</x:v>
      </x:c>
      <x:c r="AC96" s="33" t="n">
        <x:f>IF(OR(P96="",S96=""),0,IF(T96="Inmediata",0,IF(S96&lt;=0,0,IF(CASO!$E$8=0,P96*IF(T96="Constante",S96,(S96+1)/2),P96*IF(T96="Constante",((1-(1/(1+CASO!$E$8))^S96)/(1-(1/(1+CASO!$E$8)))),((1-(1/(1+CASO!$E$8))^S96)/(1-(1/(1+CASO!$E$8))))-(((1/(1+CASO!$E$8))-S96*(1/(1+CASO!$E$8))^S96+(S96-1)*(1/(1+CASO!$E$8))^(S96+1))/(1-(1/(1+CASO!$E$8)))^2)/S96)))))</x:f>
        <x:v>0</x:v>
      </x:c>
      <x:c r="AD96" s="32" t="n">
        <x:f>IF(OR(Z96="",Z96="Excluido"),0,H96*K96*AA96)</x:f>
        <x:v>0</x:v>
      </x:c>
      <x:c r="AE96" s="32" t="n">
        <x:f>IF(OR(Z96="",Z96="Excluido"),0,I96*L96*AB96)</x:f>
        <x:v>0</x:v>
      </x:c>
      <x:c r="AF96" s="32" t="n">
        <x:f>IF(OR(Z96="",Z96="Excluido"),0,J96*M96*AC96)</x:f>
        <x:v>0</x:v>
      </x:c>
    </x:row>
    <x:row r="97">
      <x:c r="A97" s="21"/>
      <x:c r="B97" s="21"/>
      <x:c r="C97" s="21"/>
      <x:c r="D97" s="21"/>
      <x:c r="E97" s="21"/>
      <x:c r="F97" s="21"/>
      <x:c r="G97" s="21"/>
      <x:c r="H97" s="31"/>
      <x:c r="I97" s="31"/>
      <x:c r="J97" s="31"/>
      <x:c r="K97" s="31"/>
      <x:c r="L97" s="31"/>
      <x:c r="M97" s="31"/>
      <x:c r="N97" s="24"/>
      <x:c r="O97" s="24"/>
      <x:c r="P97" s="24"/>
      <x:c r="Q97" s="21"/>
      <x:c r="R97" s="21"/>
      <x:c r="S97" s="21"/>
      <x:c r="T97" s="21"/>
      <x:c r="U97" s="21"/>
      <x:c r="V97" s="21"/>
      <x:c r="W97" s="21"/>
      <x:c r="X97" s="21"/>
      <x:c r="Y97" s="21"/>
      <x:c r="Z97" s="30" t="str">
        <x:f>IF(B97="","",IF(OR(U97&lt;&gt;"Sí",V97="X"),"Excluido",IF(OR(V97="D",V97="E",W97="Baja"),"Exploratorio","Principal")))</x:f>
      </x:c>
      <x:c r="AA97" s="33" t="n">
        <x:f>IF(OR(N97="",Q97=""),0,IF(T97="Inmediata",0,IF(Q97&lt;=0,0,IF(CASO!$E$6=0,N97*IF(T97="Constante",Q97,(Q97+1)/2),N97*IF(T97="Constante",((1-(1/(1+CASO!$E$6))^Q97)/(1-(1/(1+CASO!$E$6)))),((1-(1/(1+CASO!$E$6))^Q97)/(1-(1/(1+CASO!$E$6))))-(((1/(1+CASO!$E$6))-Q97*(1/(1+CASO!$E$6))^Q97+(Q97-1)*(1/(1+CASO!$E$6))^(Q97+1))/(1-(1/(1+CASO!$E$6)))^2)/Q97)))))</x:f>
        <x:v>0</x:v>
      </x:c>
      <x:c r="AB97" s="33" t="n">
        <x:f>IF(OR(O97="",R97=""),0,IF(T97="Inmediata",0,IF(R97&lt;=0,0,IF(CASO!$E$7=0,O97*IF(T97="Constante",R97,(R97+1)/2),O97*IF(T97="Constante",((1-(1/(1+CASO!$E$7))^R97)/(1-(1/(1+CASO!$E$7)))),((1-(1/(1+CASO!$E$7))^R97)/(1-(1/(1+CASO!$E$7))))-(((1/(1+CASO!$E$7))-R97*(1/(1+CASO!$E$7))^R97+(R97-1)*(1/(1+CASO!$E$7))^(R97+1))/(1-(1/(1+CASO!$E$7)))^2)/R97)))))</x:f>
        <x:v>0</x:v>
      </x:c>
      <x:c r="AC97" s="33" t="n">
        <x:f>IF(OR(P97="",S97=""),0,IF(T97="Inmediata",0,IF(S97&lt;=0,0,IF(CASO!$E$8=0,P97*IF(T97="Constante",S97,(S97+1)/2),P97*IF(T97="Constante",((1-(1/(1+CASO!$E$8))^S97)/(1-(1/(1+CASO!$E$8)))),((1-(1/(1+CASO!$E$8))^S97)/(1-(1/(1+CASO!$E$8))))-(((1/(1+CASO!$E$8))-S97*(1/(1+CASO!$E$8))^S97+(S97-1)*(1/(1+CASO!$E$8))^(S97+1))/(1-(1/(1+CASO!$E$8)))^2)/S97)))))</x:f>
        <x:v>0</x:v>
      </x:c>
      <x:c r="AD97" s="32" t="n">
        <x:f>IF(OR(Z97="",Z97="Excluido"),0,H97*K97*AA97)</x:f>
        <x:v>0</x:v>
      </x:c>
      <x:c r="AE97" s="32" t="n">
        <x:f>IF(OR(Z97="",Z97="Excluido"),0,I97*L97*AB97)</x:f>
        <x:v>0</x:v>
      </x:c>
      <x:c r="AF97" s="32" t="n">
        <x:f>IF(OR(Z97="",Z97="Excluido"),0,J97*M97*AC97)</x:f>
        <x:v>0</x:v>
      </x:c>
    </x:row>
    <x:row r="98">
      <x:c r="A98" s="21"/>
      <x:c r="B98" s="21"/>
      <x:c r="C98" s="21"/>
      <x:c r="D98" s="21"/>
      <x:c r="E98" s="21"/>
      <x:c r="F98" s="21"/>
      <x:c r="G98" s="21"/>
      <x:c r="H98" s="31"/>
      <x:c r="I98" s="31"/>
      <x:c r="J98" s="31"/>
      <x:c r="K98" s="31"/>
      <x:c r="L98" s="31"/>
      <x:c r="M98" s="31"/>
      <x:c r="N98" s="24"/>
      <x:c r="O98" s="24"/>
      <x:c r="P98" s="24"/>
      <x:c r="Q98" s="21"/>
      <x:c r="R98" s="21"/>
      <x:c r="S98" s="21"/>
      <x:c r="T98" s="21"/>
      <x:c r="U98" s="21"/>
      <x:c r="V98" s="21"/>
      <x:c r="W98" s="21"/>
      <x:c r="X98" s="21"/>
      <x:c r="Y98" s="21"/>
      <x:c r="Z98" s="30" t="str">
        <x:f>IF(B98="","",IF(OR(U98&lt;&gt;"Sí",V98="X"),"Excluido",IF(OR(V98="D",V98="E",W98="Baja"),"Exploratorio","Principal")))</x:f>
      </x:c>
      <x:c r="AA98" s="33" t="n">
        <x:f>IF(OR(N98="",Q98=""),0,IF(T98="Inmediata",0,IF(Q98&lt;=0,0,IF(CASO!$E$6=0,N98*IF(T98="Constante",Q98,(Q98+1)/2),N98*IF(T98="Constante",((1-(1/(1+CASO!$E$6))^Q98)/(1-(1/(1+CASO!$E$6)))),((1-(1/(1+CASO!$E$6))^Q98)/(1-(1/(1+CASO!$E$6))))-(((1/(1+CASO!$E$6))-Q98*(1/(1+CASO!$E$6))^Q98+(Q98-1)*(1/(1+CASO!$E$6))^(Q98+1))/(1-(1/(1+CASO!$E$6)))^2)/Q98)))))</x:f>
        <x:v>0</x:v>
      </x:c>
      <x:c r="AB98" s="33" t="n">
        <x:f>IF(OR(O98="",R98=""),0,IF(T98="Inmediata",0,IF(R98&lt;=0,0,IF(CASO!$E$7=0,O98*IF(T98="Constante",R98,(R98+1)/2),O98*IF(T98="Constante",((1-(1/(1+CASO!$E$7))^R98)/(1-(1/(1+CASO!$E$7)))),((1-(1/(1+CASO!$E$7))^R98)/(1-(1/(1+CASO!$E$7))))-(((1/(1+CASO!$E$7))-R98*(1/(1+CASO!$E$7))^R98+(R98-1)*(1/(1+CASO!$E$7))^(R98+1))/(1-(1/(1+CASO!$E$7)))^2)/R98)))))</x:f>
        <x:v>0</x:v>
      </x:c>
      <x:c r="AC98" s="33" t="n">
        <x:f>IF(OR(P98="",S98=""),0,IF(T98="Inmediata",0,IF(S98&lt;=0,0,IF(CASO!$E$8=0,P98*IF(T98="Constante",S98,(S98+1)/2),P98*IF(T98="Constante",((1-(1/(1+CASO!$E$8))^S98)/(1-(1/(1+CASO!$E$8)))),((1-(1/(1+CASO!$E$8))^S98)/(1-(1/(1+CASO!$E$8))))-(((1/(1+CASO!$E$8))-S98*(1/(1+CASO!$E$8))^S98+(S98-1)*(1/(1+CASO!$E$8))^(S98+1))/(1-(1/(1+CASO!$E$8)))^2)/S98)))))</x:f>
        <x:v>0</x:v>
      </x:c>
      <x:c r="AD98" s="32" t="n">
        <x:f>IF(OR(Z98="",Z98="Excluido"),0,H98*K98*AA98)</x:f>
        <x:v>0</x:v>
      </x:c>
      <x:c r="AE98" s="32" t="n">
        <x:f>IF(OR(Z98="",Z98="Excluido"),0,I98*L98*AB98)</x:f>
        <x:v>0</x:v>
      </x:c>
      <x:c r="AF98" s="32" t="n">
        <x:f>IF(OR(Z98="",Z98="Excluido"),0,J98*M98*AC98)</x:f>
        <x:v>0</x:v>
      </x:c>
    </x:row>
    <x:row r="99">
      <x:c r="A99" s="21"/>
      <x:c r="B99" s="21"/>
      <x:c r="C99" s="21"/>
      <x:c r="D99" s="21"/>
      <x:c r="E99" s="21"/>
      <x:c r="F99" s="21"/>
      <x:c r="G99" s="21"/>
      <x:c r="H99" s="31"/>
      <x:c r="I99" s="31"/>
      <x:c r="J99" s="31"/>
      <x:c r="K99" s="31"/>
      <x:c r="L99" s="31"/>
      <x:c r="M99" s="31"/>
      <x:c r="N99" s="24"/>
      <x:c r="O99" s="24"/>
      <x:c r="P99" s="24"/>
      <x:c r="Q99" s="21"/>
      <x:c r="R99" s="21"/>
      <x:c r="S99" s="21"/>
      <x:c r="T99" s="21"/>
      <x:c r="U99" s="21"/>
      <x:c r="V99" s="21"/>
      <x:c r="W99" s="21"/>
      <x:c r="X99" s="21"/>
      <x:c r="Y99" s="21"/>
      <x:c r="Z99" s="30" t="str">
        <x:f>IF(B99="","",IF(OR(U99&lt;&gt;"Sí",V99="X"),"Excluido",IF(OR(V99="D",V99="E",W99="Baja"),"Exploratorio","Principal")))</x:f>
      </x:c>
      <x:c r="AA99" s="33" t="n">
        <x:f>IF(OR(N99="",Q99=""),0,IF(T99="Inmediata",0,IF(Q99&lt;=0,0,IF(CASO!$E$6=0,N99*IF(T99="Constante",Q99,(Q99+1)/2),N99*IF(T99="Constante",((1-(1/(1+CASO!$E$6))^Q99)/(1-(1/(1+CASO!$E$6)))),((1-(1/(1+CASO!$E$6))^Q99)/(1-(1/(1+CASO!$E$6))))-(((1/(1+CASO!$E$6))-Q99*(1/(1+CASO!$E$6))^Q99+(Q99-1)*(1/(1+CASO!$E$6))^(Q99+1))/(1-(1/(1+CASO!$E$6)))^2)/Q99)))))</x:f>
        <x:v>0</x:v>
      </x:c>
      <x:c r="AB99" s="33" t="n">
        <x:f>IF(OR(O99="",R99=""),0,IF(T99="Inmediata",0,IF(R99&lt;=0,0,IF(CASO!$E$7=0,O99*IF(T99="Constante",R99,(R99+1)/2),O99*IF(T99="Constante",((1-(1/(1+CASO!$E$7))^R99)/(1-(1/(1+CASO!$E$7)))),((1-(1/(1+CASO!$E$7))^R99)/(1-(1/(1+CASO!$E$7))))-(((1/(1+CASO!$E$7))-R99*(1/(1+CASO!$E$7))^R99+(R99-1)*(1/(1+CASO!$E$7))^(R99+1))/(1-(1/(1+CASO!$E$7)))^2)/R99)))))</x:f>
        <x:v>0</x:v>
      </x:c>
      <x:c r="AC99" s="33" t="n">
        <x:f>IF(OR(P99="",S99=""),0,IF(T99="Inmediata",0,IF(S99&lt;=0,0,IF(CASO!$E$8=0,P99*IF(T99="Constante",S99,(S99+1)/2),P99*IF(T99="Constante",((1-(1/(1+CASO!$E$8))^S99)/(1-(1/(1+CASO!$E$8)))),((1-(1/(1+CASO!$E$8))^S99)/(1-(1/(1+CASO!$E$8))))-(((1/(1+CASO!$E$8))-S99*(1/(1+CASO!$E$8))^S99+(S99-1)*(1/(1+CASO!$E$8))^(S99+1))/(1-(1/(1+CASO!$E$8)))^2)/S99)))))</x:f>
        <x:v>0</x:v>
      </x:c>
      <x:c r="AD99" s="32" t="n">
        <x:f>IF(OR(Z99="",Z99="Excluido"),0,H99*K99*AA99)</x:f>
        <x:v>0</x:v>
      </x:c>
      <x:c r="AE99" s="32" t="n">
        <x:f>IF(OR(Z99="",Z99="Excluido"),0,I99*L99*AB99)</x:f>
        <x:v>0</x:v>
      </x:c>
      <x:c r="AF99" s="32" t="n">
        <x:f>IF(OR(Z99="",Z99="Excluido"),0,J99*M99*AC99)</x:f>
        <x:v>0</x:v>
      </x:c>
    </x:row>
    <x:row r="100">
      <x:c r="A100" s="21"/>
      <x:c r="B100" s="21"/>
      <x:c r="C100" s="21"/>
      <x:c r="D100" s="21"/>
      <x:c r="E100" s="21"/>
      <x:c r="F100" s="21"/>
      <x:c r="G100" s="21"/>
      <x:c r="H100" s="31"/>
      <x:c r="I100" s="31"/>
      <x:c r="J100" s="31"/>
      <x:c r="K100" s="31"/>
      <x:c r="L100" s="31"/>
      <x:c r="M100" s="31"/>
      <x:c r="N100" s="24"/>
      <x:c r="O100" s="24"/>
      <x:c r="P100" s="24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30" t="str">
        <x:f>IF(B100="","",IF(OR(U100&lt;&gt;"Sí",V100="X"),"Excluido",IF(OR(V100="D",V100="E",W100="Baja"),"Exploratorio","Principal")))</x:f>
      </x:c>
      <x:c r="AA100" s="33" t="n">
        <x:f>IF(OR(N100="",Q100=""),0,IF(T100="Inmediata",0,IF(Q100&lt;=0,0,IF(CASO!$E$6=0,N100*IF(T100="Constante",Q100,(Q100+1)/2),N100*IF(T100="Constante",((1-(1/(1+CASO!$E$6))^Q100)/(1-(1/(1+CASO!$E$6)))),((1-(1/(1+CASO!$E$6))^Q100)/(1-(1/(1+CASO!$E$6))))-(((1/(1+CASO!$E$6))-Q100*(1/(1+CASO!$E$6))^Q100+(Q100-1)*(1/(1+CASO!$E$6))^(Q100+1))/(1-(1/(1+CASO!$E$6)))^2)/Q100)))))</x:f>
        <x:v>0</x:v>
      </x:c>
      <x:c r="AB100" s="33" t="n">
        <x:f>IF(OR(O100="",R100=""),0,IF(T100="Inmediata",0,IF(R100&lt;=0,0,IF(CASO!$E$7=0,O100*IF(T100="Constante",R100,(R100+1)/2),O100*IF(T100="Constante",((1-(1/(1+CASO!$E$7))^R100)/(1-(1/(1+CASO!$E$7)))),((1-(1/(1+CASO!$E$7))^R100)/(1-(1/(1+CASO!$E$7))))-(((1/(1+CASO!$E$7))-R100*(1/(1+CASO!$E$7))^R100+(R100-1)*(1/(1+CASO!$E$7))^(R100+1))/(1-(1/(1+CASO!$E$7)))^2)/R100)))))</x:f>
        <x:v>0</x:v>
      </x:c>
      <x:c r="AC100" s="33" t="n">
        <x:f>IF(OR(P100="",S100=""),0,IF(T100="Inmediata",0,IF(S100&lt;=0,0,IF(CASO!$E$8=0,P100*IF(T100="Constante",S100,(S100+1)/2),P100*IF(T100="Constante",((1-(1/(1+CASO!$E$8))^S100)/(1-(1/(1+CASO!$E$8)))),((1-(1/(1+CASO!$E$8))^S100)/(1-(1/(1+CASO!$E$8))))-(((1/(1+CASO!$E$8))-S100*(1/(1+CASO!$E$8))^S100+(S100-1)*(1/(1+CASO!$E$8))^(S100+1))/(1-(1/(1+CASO!$E$8)))^2)/S100)))))</x:f>
        <x:v>0</x:v>
      </x:c>
      <x:c r="AD100" s="32" t="n">
        <x:f>IF(OR(Z100="",Z100="Excluido"),0,H100*K100*AA100)</x:f>
        <x:v>0</x:v>
      </x:c>
      <x:c r="AE100" s="32" t="n">
        <x:f>IF(OR(Z100="",Z100="Excluido"),0,I100*L100*AB100)</x:f>
        <x:v>0</x:v>
      </x:c>
      <x:c r="AF100" s="32" t="n">
        <x:f>IF(OR(Z100="",Z100="Excluido"),0,J100*M100*AC100)</x:f>
        <x:v>0</x:v>
      </x:c>
    </x:row>
    <x:row r="101">
      <x:c r="A101" s="21"/>
      <x:c r="B101" s="21"/>
      <x:c r="C101" s="21"/>
      <x:c r="D101" s="21"/>
      <x:c r="E101" s="21"/>
      <x:c r="F101" s="21"/>
      <x:c r="G101" s="21"/>
      <x:c r="H101" s="31"/>
      <x:c r="I101" s="31"/>
      <x:c r="J101" s="31"/>
      <x:c r="K101" s="31"/>
      <x:c r="L101" s="31"/>
      <x:c r="M101" s="31"/>
      <x:c r="N101" s="24"/>
      <x:c r="O101" s="24"/>
      <x:c r="P101" s="24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30" t="str">
        <x:f>IF(B101="","",IF(OR(U101&lt;&gt;"Sí",V101="X"),"Excluido",IF(OR(V101="D",V101="E",W101="Baja"),"Exploratorio","Principal")))</x:f>
      </x:c>
      <x:c r="AA101" s="33" t="n">
        <x:f>IF(OR(N101="",Q101=""),0,IF(T101="Inmediata",0,IF(Q101&lt;=0,0,IF(CASO!$E$6=0,N101*IF(T101="Constante",Q101,(Q101+1)/2),N101*IF(T101="Constante",((1-(1/(1+CASO!$E$6))^Q101)/(1-(1/(1+CASO!$E$6)))),((1-(1/(1+CASO!$E$6))^Q101)/(1-(1/(1+CASO!$E$6))))-(((1/(1+CASO!$E$6))-Q101*(1/(1+CASO!$E$6))^Q101+(Q101-1)*(1/(1+CASO!$E$6))^(Q101+1))/(1-(1/(1+CASO!$E$6)))^2)/Q101)))))</x:f>
        <x:v>0</x:v>
      </x:c>
      <x:c r="AB101" s="33" t="n">
        <x:f>IF(OR(O101="",R101=""),0,IF(T101="Inmediata",0,IF(R101&lt;=0,0,IF(CASO!$E$7=0,O101*IF(T101="Constante",R101,(R101+1)/2),O101*IF(T101="Constante",((1-(1/(1+CASO!$E$7))^R101)/(1-(1/(1+CASO!$E$7)))),((1-(1/(1+CASO!$E$7))^R101)/(1-(1/(1+CASO!$E$7))))-(((1/(1+CASO!$E$7))-R101*(1/(1+CASO!$E$7))^R101+(R101-1)*(1/(1+CASO!$E$7))^(R101+1))/(1-(1/(1+CASO!$E$7)))^2)/R101)))))</x:f>
        <x:v>0</x:v>
      </x:c>
      <x:c r="AC101" s="33" t="n">
        <x:f>IF(OR(P101="",S101=""),0,IF(T101="Inmediata",0,IF(S101&lt;=0,0,IF(CASO!$E$8=0,P101*IF(T101="Constante",S101,(S101+1)/2),P101*IF(T101="Constante",((1-(1/(1+CASO!$E$8))^S101)/(1-(1/(1+CASO!$E$8)))),((1-(1/(1+CASO!$E$8))^S101)/(1-(1/(1+CASO!$E$8))))-(((1/(1+CASO!$E$8))-S101*(1/(1+CASO!$E$8))^S101+(S101-1)*(1/(1+CASO!$E$8))^(S101+1))/(1-(1/(1+CASO!$E$8)))^2)/S101)))))</x:f>
        <x:v>0</x:v>
      </x:c>
      <x:c r="AD101" s="32" t="n">
        <x:f>IF(OR(Z101="",Z101="Excluido"),0,H101*K101*AA101)</x:f>
        <x:v>0</x:v>
      </x:c>
      <x:c r="AE101" s="32" t="n">
        <x:f>IF(OR(Z101="",Z101="Excluido"),0,I101*L101*AB101)</x:f>
        <x:v>0</x:v>
      </x:c>
      <x:c r="AF101" s="32" t="n">
        <x:f>IF(OR(Z101="",Z101="Excluido"),0,J101*M101*AC101)</x:f>
        <x:v>0</x:v>
      </x:c>
    </x:row>
    <x:row r="102">
      <x:c r="A102" s="21"/>
      <x:c r="B102" s="21"/>
      <x:c r="C102" s="21"/>
      <x:c r="D102" s="21"/>
      <x:c r="E102" s="21"/>
      <x:c r="F102" s="21"/>
      <x:c r="G102" s="21"/>
      <x:c r="H102" s="31"/>
      <x:c r="I102" s="31"/>
      <x:c r="J102" s="31"/>
      <x:c r="K102" s="31"/>
      <x:c r="L102" s="31"/>
      <x:c r="M102" s="31"/>
      <x:c r="N102" s="24"/>
      <x:c r="O102" s="24"/>
      <x:c r="P102" s="24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30" t="str">
        <x:f>IF(B102="","",IF(OR(U102&lt;&gt;"Sí",V102="X"),"Excluido",IF(OR(V102="D",V102="E",W102="Baja"),"Exploratorio","Principal")))</x:f>
      </x:c>
      <x:c r="AA102" s="33" t="n">
        <x:f>IF(OR(N102="",Q102=""),0,IF(T102="Inmediata",0,IF(Q102&lt;=0,0,IF(CASO!$E$6=0,N102*IF(T102="Constante",Q102,(Q102+1)/2),N102*IF(T102="Constante",((1-(1/(1+CASO!$E$6))^Q102)/(1-(1/(1+CASO!$E$6)))),((1-(1/(1+CASO!$E$6))^Q102)/(1-(1/(1+CASO!$E$6))))-(((1/(1+CASO!$E$6))-Q102*(1/(1+CASO!$E$6))^Q102+(Q102-1)*(1/(1+CASO!$E$6))^(Q102+1))/(1-(1/(1+CASO!$E$6)))^2)/Q102)))))</x:f>
        <x:v>0</x:v>
      </x:c>
      <x:c r="AB102" s="33" t="n">
        <x:f>IF(OR(O102="",R102=""),0,IF(T102="Inmediata",0,IF(R102&lt;=0,0,IF(CASO!$E$7=0,O102*IF(T102="Constante",R102,(R102+1)/2),O102*IF(T102="Constante",((1-(1/(1+CASO!$E$7))^R102)/(1-(1/(1+CASO!$E$7)))),((1-(1/(1+CASO!$E$7))^R102)/(1-(1/(1+CASO!$E$7))))-(((1/(1+CASO!$E$7))-R102*(1/(1+CASO!$E$7))^R102+(R102-1)*(1/(1+CASO!$E$7))^(R102+1))/(1-(1/(1+CASO!$E$7)))^2)/R102)))))</x:f>
        <x:v>0</x:v>
      </x:c>
      <x:c r="AC102" s="33" t="n">
        <x:f>IF(OR(P102="",S102=""),0,IF(T102="Inmediata",0,IF(S102&lt;=0,0,IF(CASO!$E$8=0,P102*IF(T102="Constante",S102,(S102+1)/2),P102*IF(T102="Constante",((1-(1/(1+CASO!$E$8))^S102)/(1-(1/(1+CASO!$E$8)))),((1-(1/(1+CASO!$E$8))^S102)/(1-(1/(1+CASO!$E$8))))-(((1/(1+CASO!$E$8))-S102*(1/(1+CASO!$E$8))^S102+(S102-1)*(1/(1+CASO!$E$8))^(S102+1))/(1-(1/(1+CASO!$E$8)))^2)/S102)))))</x:f>
        <x:v>0</x:v>
      </x:c>
      <x:c r="AD102" s="32" t="n">
        <x:f>IF(OR(Z102="",Z102="Excluido"),0,H102*K102*AA102)</x:f>
        <x:v>0</x:v>
      </x:c>
      <x:c r="AE102" s="32" t="n">
        <x:f>IF(OR(Z102="",Z102="Excluido"),0,I102*L102*AB102)</x:f>
        <x:v>0</x:v>
      </x:c>
      <x:c r="AF102" s="32" t="n">
        <x:f>IF(OR(Z102="",Z102="Excluido"),0,J102*M102*AC102)</x:f>
        <x:v>0</x:v>
      </x:c>
    </x:row>
    <x:row r="103">
      <x:c r="A103" s="21"/>
      <x:c r="B103" s="21"/>
      <x:c r="C103" s="21"/>
      <x:c r="D103" s="21"/>
      <x:c r="E103" s="21"/>
      <x:c r="F103" s="21"/>
      <x:c r="G103" s="21"/>
      <x:c r="H103" s="31"/>
      <x:c r="I103" s="31"/>
      <x:c r="J103" s="31"/>
      <x:c r="K103" s="31"/>
      <x:c r="L103" s="31"/>
      <x:c r="M103" s="31"/>
      <x:c r="N103" s="24"/>
      <x:c r="O103" s="24"/>
      <x:c r="P103" s="24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30" t="str">
        <x:f>IF(B103="","",IF(OR(U103&lt;&gt;"Sí",V103="X"),"Excluido",IF(OR(V103="D",V103="E",W103="Baja"),"Exploratorio","Principal")))</x:f>
      </x:c>
      <x:c r="AA103" s="33" t="n">
        <x:f>IF(OR(N103="",Q103=""),0,IF(T103="Inmediata",0,IF(Q103&lt;=0,0,IF(CASO!$E$6=0,N103*IF(T103="Constante",Q103,(Q103+1)/2),N103*IF(T103="Constante",((1-(1/(1+CASO!$E$6))^Q103)/(1-(1/(1+CASO!$E$6)))),((1-(1/(1+CASO!$E$6))^Q103)/(1-(1/(1+CASO!$E$6))))-(((1/(1+CASO!$E$6))-Q103*(1/(1+CASO!$E$6))^Q103+(Q103-1)*(1/(1+CASO!$E$6))^(Q103+1))/(1-(1/(1+CASO!$E$6)))^2)/Q103)))))</x:f>
        <x:v>0</x:v>
      </x:c>
      <x:c r="AB103" s="33" t="n">
        <x:f>IF(OR(O103="",R103=""),0,IF(T103="Inmediata",0,IF(R103&lt;=0,0,IF(CASO!$E$7=0,O103*IF(T103="Constante",R103,(R103+1)/2),O103*IF(T103="Constante",((1-(1/(1+CASO!$E$7))^R103)/(1-(1/(1+CASO!$E$7)))),((1-(1/(1+CASO!$E$7))^R103)/(1-(1/(1+CASO!$E$7))))-(((1/(1+CASO!$E$7))-R103*(1/(1+CASO!$E$7))^R103+(R103-1)*(1/(1+CASO!$E$7))^(R103+1))/(1-(1/(1+CASO!$E$7)))^2)/R103)))))</x:f>
        <x:v>0</x:v>
      </x:c>
      <x:c r="AC103" s="33" t="n">
        <x:f>IF(OR(P103="",S103=""),0,IF(T103="Inmediata",0,IF(S103&lt;=0,0,IF(CASO!$E$8=0,P103*IF(T103="Constante",S103,(S103+1)/2),P103*IF(T103="Constante",((1-(1/(1+CASO!$E$8))^S103)/(1-(1/(1+CASO!$E$8)))),((1-(1/(1+CASO!$E$8))^S103)/(1-(1/(1+CASO!$E$8))))-(((1/(1+CASO!$E$8))-S103*(1/(1+CASO!$E$8))^S103+(S103-1)*(1/(1+CASO!$E$8))^(S103+1))/(1-(1/(1+CASO!$E$8)))^2)/S103)))))</x:f>
        <x:v>0</x:v>
      </x:c>
      <x:c r="AD103" s="32" t="n">
        <x:f>IF(OR(Z103="",Z103="Excluido"),0,H103*K103*AA103)</x:f>
        <x:v>0</x:v>
      </x:c>
      <x:c r="AE103" s="32" t="n">
        <x:f>IF(OR(Z103="",Z103="Excluido"),0,I103*L103*AB103)</x:f>
        <x:v>0</x:v>
      </x:c>
      <x:c r="AF103" s="32" t="n">
        <x:f>IF(OR(Z103="",Z103="Excluido"),0,J103*M103*AC103)</x:f>
        <x:v>0</x:v>
      </x:c>
    </x:row>
    <x:row r="104">
      <x:c r="A104" s="21"/>
      <x:c r="B104" s="21"/>
      <x:c r="C104" s="21"/>
      <x:c r="D104" s="21"/>
      <x:c r="E104" s="21"/>
      <x:c r="F104" s="21"/>
      <x:c r="G104" s="21"/>
      <x:c r="H104" s="31"/>
      <x:c r="I104" s="31"/>
      <x:c r="J104" s="31"/>
      <x:c r="K104" s="31"/>
      <x:c r="L104" s="31"/>
      <x:c r="M104" s="31"/>
      <x:c r="N104" s="24"/>
      <x:c r="O104" s="24"/>
      <x:c r="P104" s="24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30" t="str">
        <x:f>IF(B104="","",IF(OR(U104&lt;&gt;"Sí",V104="X"),"Excluido",IF(OR(V104="D",V104="E",W104="Baja"),"Exploratorio","Principal")))</x:f>
      </x:c>
      <x:c r="AA104" s="33" t="n">
        <x:f>IF(OR(N104="",Q104=""),0,IF(T104="Inmediata",0,IF(Q104&lt;=0,0,IF(CASO!$E$6=0,N104*IF(T104="Constante",Q104,(Q104+1)/2),N104*IF(T104="Constante",((1-(1/(1+CASO!$E$6))^Q104)/(1-(1/(1+CASO!$E$6)))),((1-(1/(1+CASO!$E$6))^Q104)/(1-(1/(1+CASO!$E$6))))-(((1/(1+CASO!$E$6))-Q104*(1/(1+CASO!$E$6))^Q104+(Q104-1)*(1/(1+CASO!$E$6))^(Q104+1))/(1-(1/(1+CASO!$E$6)))^2)/Q104)))))</x:f>
        <x:v>0</x:v>
      </x:c>
      <x:c r="AB104" s="33" t="n">
        <x:f>IF(OR(O104="",R104=""),0,IF(T104="Inmediata",0,IF(R104&lt;=0,0,IF(CASO!$E$7=0,O104*IF(T104="Constante",R104,(R104+1)/2),O104*IF(T104="Constante",((1-(1/(1+CASO!$E$7))^R104)/(1-(1/(1+CASO!$E$7)))),((1-(1/(1+CASO!$E$7))^R104)/(1-(1/(1+CASO!$E$7))))-(((1/(1+CASO!$E$7))-R104*(1/(1+CASO!$E$7))^R104+(R104-1)*(1/(1+CASO!$E$7))^(R104+1))/(1-(1/(1+CASO!$E$7)))^2)/R104)))))</x:f>
        <x:v>0</x:v>
      </x:c>
      <x:c r="AC104" s="33" t="n">
        <x:f>IF(OR(P104="",S104=""),0,IF(T104="Inmediata",0,IF(S104&lt;=0,0,IF(CASO!$E$8=0,P104*IF(T104="Constante",S104,(S104+1)/2),P104*IF(T104="Constante",((1-(1/(1+CASO!$E$8))^S104)/(1-(1/(1+CASO!$E$8)))),((1-(1/(1+CASO!$E$8))^S104)/(1-(1/(1+CASO!$E$8))))-(((1/(1+CASO!$E$8))-S104*(1/(1+CASO!$E$8))^S104+(S104-1)*(1/(1+CASO!$E$8))^(S104+1))/(1-(1/(1+CASO!$E$8)))^2)/S104)))))</x:f>
        <x:v>0</x:v>
      </x:c>
      <x:c r="AD104" s="32" t="n">
        <x:f>IF(OR(Z104="",Z104="Excluido"),0,H104*K104*AA104)</x:f>
        <x:v>0</x:v>
      </x:c>
      <x:c r="AE104" s="32" t="n">
        <x:f>IF(OR(Z104="",Z104="Excluido"),0,I104*L104*AB104)</x:f>
        <x:v>0</x:v>
      </x:c>
      <x:c r="AF104" s="32" t="n">
        <x:f>IF(OR(Z104="",Z104="Excluido"),0,J104*M104*AC104)</x:f>
        <x:v>0</x:v>
      </x:c>
    </x:row>
    <x:row r="105">
      <x:c r="A105" s="21"/>
      <x:c r="B105" s="21"/>
      <x:c r="C105" s="21"/>
      <x:c r="D105" s="21"/>
      <x:c r="E105" s="21"/>
      <x:c r="F105" s="21"/>
      <x:c r="G105" s="21"/>
      <x:c r="H105" s="31"/>
      <x:c r="I105" s="31"/>
      <x:c r="J105" s="31"/>
      <x:c r="K105" s="31"/>
      <x:c r="L105" s="31"/>
      <x:c r="M105" s="31"/>
      <x:c r="N105" s="24"/>
      <x:c r="O105" s="24"/>
      <x:c r="P105" s="24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30" t="str">
        <x:f>IF(B105="","",IF(OR(U105&lt;&gt;"Sí",V105="X"),"Excluido",IF(OR(V105="D",V105="E",W105="Baja"),"Exploratorio","Principal")))</x:f>
      </x:c>
      <x:c r="AA105" s="33" t="n">
        <x:f>IF(OR(N105="",Q105=""),0,IF(T105="Inmediata",0,IF(Q105&lt;=0,0,IF(CASO!$E$6=0,N105*IF(T105="Constante",Q105,(Q105+1)/2),N105*IF(T105="Constante",((1-(1/(1+CASO!$E$6))^Q105)/(1-(1/(1+CASO!$E$6)))),((1-(1/(1+CASO!$E$6))^Q105)/(1-(1/(1+CASO!$E$6))))-(((1/(1+CASO!$E$6))-Q105*(1/(1+CASO!$E$6))^Q105+(Q105-1)*(1/(1+CASO!$E$6))^(Q105+1))/(1-(1/(1+CASO!$E$6)))^2)/Q105)))))</x:f>
        <x:v>0</x:v>
      </x:c>
      <x:c r="AB105" s="33" t="n">
        <x:f>IF(OR(O105="",R105=""),0,IF(T105="Inmediata",0,IF(R105&lt;=0,0,IF(CASO!$E$7=0,O105*IF(T105="Constante",R105,(R105+1)/2),O105*IF(T105="Constante",((1-(1/(1+CASO!$E$7))^R105)/(1-(1/(1+CASO!$E$7)))),((1-(1/(1+CASO!$E$7))^R105)/(1-(1/(1+CASO!$E$7))))-(((1/(1+CASO!$E$7))-R105*(1/(1+CASO!$E$7))^R105+(R105-1)*(1/(1+CASO!$E$7))^(R105+1))/(1-(1/(1+CASO!$E$7)))^2)/R105)))))</x:f>
        <x:v>0</x:v>
      </x:c>
      <x:c r="AC105" s="33" t="n">
        <x:f>IF(OR(P105="",S105=""),0,IF(T105="Inmediata",0,IF(S105&lt;=0,0,IF(CASO!$E$8=0,P105*IF(T105="Constante",S105,(S105+1)/2),P105*IF(T105="Constante",((1-(1/(1+CASO!$E$8))^S105)/(1-(1/(1+CASO!$E$8)))),((1-(1/(1+CASO!$E$8))^S105)/(1-(1/(1+CASO!$E$8))))-(((1/(1+CASO!$E$8))-S105*(1/(1+CASO!$E$8))^S105+(S105-1)*(1/(1+CASO!$E$8))^(S105+1))/(1-(1/(1+CASO!$E$8)))^2)/S105)))))</x:f>
        <x:v>0</x:v>
      </x:c>
      <x:c r="AD105" s="32" t="n">
        <x:f>IF(OR(Z105="",Z105="Excluido"),0,H105*K105*AA105)</x:f>
        <x:v>0</x:v>
      </x:c>
      <x:c r="AE105" s="32" t="n">
        <x:f>IF(OR(Z105="",Z105="Excluido"),0,I105*L105*AB105)</x:f>
        <x:v>0</x:v>
      </x:c>
      <x:c r="AF105" s="32" t="n">
        <x:f>IF(OR(Z105="",Z105="Excluido"),0,J105*M105*AC105)</x:f>
        <x:v>0</x:v>
      </x:c>
    </x:row>
    <x:row r="106">
      <x:c r="A106" s="21"/>
      <x:c r="B106" s="21"/>
      <x:c r="C106" s="21"/>
      <x:c r="D106" s="21"/>
      <x:c r="E106" s="21"/>
      <x:c r="F106" s="21"/>
      <x:c r="G106" s="21"/>
      <x:c r="H106" s="31"/>
      <x:c r="I106" s="31"/>
      <x:c r="J106" s="31"/>
      <x:c r="K106" s="31"/>
      <x:c r="L106" s="31"/>
      <x:c r="M106" s="31"/>
      <x:c r="N106" s="24"/>
      <x:c r="O106" s="24"/>
      <x:c r="P106" s="24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30" t="str">
        <x:f>IF(B106="","",IF(OR(U106&lt;&gt;"Sí",V106="X"),"Excluido",IF(OR(V106="D",V106="E",W106="Baja"),"Exploratorio","Principal")))</x:f>
      </x:c>
      <x:c r="AA106" s="33" t="n">
        <x:f>IF(OR(N106="",Q106=""),0,IF(T106="Inmediata",0,IF(Q106&lt;=0,0,IF(CASO!$E$6=0,N106*IF(T106="Constante",Q106,(Q106+1)/2),N106*IF(T106="Constante",((1-(1/(1+CASO!$E$6))^Q106)/(1-(1/(1+CASO!$E$6)))),((1-(1/(1+CASO!$E$6))^Q106)/(1-(1/(1+CASO!$E$6))))-(((1/(1+CASO!$E$6))-Q106*(1/(1+CASO!$E$6))^Q106+(Q106-1)*(1/(1+CASO!$E$6))^(Q106+1))/(1-(1/(1+CASO!$E$6)))^2)/Q106)))))</x:f>
        <x:v>0</x:v>
      </x:c>
      <x:c r="AB106" s="33" t="n">
        <x:f>IF(OR(O106="",R106=""),0,IF(T106="Inmediata",0,IF(R106&lt;=0,0,IF(CASO!$E$7=0,O106*IF(T106="Constante",R106,(R106+1)/2),O106*IF(T106="Constante",((1-(1/(1+CASO!$E$7))^R106)/(1-(1/(1+CASO!$E$7)))),((1-(1/(1+CASO!$E$7))^R106)/(1-(1/(1+CASO!$E$7))))-(((1/(1+CASO!$E$7))-R106*(1/(1+CASO!$E$7))^R106+(R106-1)*(1/(1+CASO!$E$7))^(R106+1))/(1-(1/(1+CASO!$E$7)))^2)/R106)))))</x:f>
        <x:v>0</x:v>
      </x:c>
      <x:c r="AC106" s="33" t="n">
        <x:f>IF(OR(P106="",S106=""),0,IF(T106="Inmediata",0,IF(S106&lt;=0,0,IF(CASO!$E$8=0,P106*IF(T106="Constante",S106,(S106+1)/2),P106*IF(T106="Constante",((1-(1/(1+CASO!$E$8))^S106)/(1-(1/(1+CASO!$E$8)))),((1-(1/(1+CASO!$E$8))^S106)/(1-(1/(1+CASO!$E$8))))-(((1/(1+CASO!$E$8))-S106*(1/(1+CASO!$E$8))^S106+(S106-1)*(1/(1+CASO!$E$8))^(S106+1))/(1-(1/(1+CASO!$E$8)))^2)/S106)))))</x:f>
        <x:v>0</x:v>
      </x:c>
      <x:c r="AD106" s="32" t="n">
        <x:f>IF(OR(Z106="",Z106="Excluido"),0,H106*K106*AA106)</x:f>
        <x:v>0</x:v>
      </x:c>
      <x:c r="AE106" s="32" t="n">
        <x:f>IF(OR(Z106="",Z106="Excluido"),0,I106*L106*AB106)</x:f>
        <x:v>0</x:v>
      </x:c>
      <x:c r="AF106" s="32" t="n">
        <x:f>IF(OR(Z106="",Z106="Excluido"),0,J106*M106*AC106)</x:f>
        <x:v>0</x:v>
      </x:c>
    </x:row>
  </x:sheetData>
  <x:mergeCells>
    <x:mergeCell ref="A2:AF2"/>
    <x:mergeCell ref="A3:AF3"/>
  </x:mergeCells>
  <x:dataValidations count="6">
    <x:dataValidation type="list" sqref="F7:F106">
      <x:formula1>"Estudio local,Función de transferencia,Transferencia de valor unitario,Costo de restauración como proxy,Proxy / supuesto"</x:formula1>
    </x:dataValidation>
    <x:dataValidation type="list" sqref="G7:G106">
      <x:formula1>"Observado,Estimado"</x:formula1>
    </x:dataValidation>
    <x:dataValidation type="list" sqref="T7:T106">
      <x:formula1>"Lineal,Constante,Inmediata"</x:formula1>
    </x:dataValidation>
    <x:dataValidation type="list" sqref="U7:U106">
      <x:formula1>"Sí,No"</x:formula1>
    </x:dataValidation>
    <x:dataValidation type="list" sqref="V7:V106">
      <x:formula1>"A,B,C,D,E,X"</x:formula1>
    </x:dataValidation>
    <x:dataValidation type="list" sqref="W7:W106">
      <x:formula1>"Alta,Media,Baja"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55" hidden="0" customWidth="1"/>
    <x:col min="5" max="5" width="38" hidden="0" customWidth="1"/>
    <x:col min="6" max="6" width="38" hidden="0" customWidth="1"/>
  </x:cols>
  <x:sheetData>
    <x:row r="2" ht="28" customHeight="1">
      <x:c r="A2" s="3" t="str">
        <x:v>Gravedad y efectos no monetarios</x:v>
      </x:c>
      <x:c r="B2" s="3" t="str">
        <x:v>Gravedad y efectos no monetarios</x:v>
      </x:c>
      <x:c r="C2" s="3" t="str">
        <x:v>Gravedad y efectos no monetarios</x:v>
      </x:c>
      <x:c r="D2" s="3" t="str">
        <x:v>Gravedad y efectos no monetarios</x:v>
      </x:c>
      <x:c r="E2" s="3" t="str">
        <x:v>Gravedad y efectos no monetarios</x:v>
      </x:c>
      <x:c r="F2" s="3" t="str">
        <x:v>Gravedad y efectos no monetarios</x:v>
      </x:c>
    </x:row>
    <x:row r="3" ht="30" customHeight="1">
      <x:c r="A3" s="7" t="str">
        <x:v>G no es un multiplicador. Registre el factor, su evidencia y la razón jurídica o técnica por la que importa.</x:v>
      </x:c>
      <x:c r="B3" s="7" t="str">
        <x:v>G no es un multiplicador. Registre el factor, su evidencia y la razón jurídica o técnica por la que importa.</x:v>
      </x:c>
      <x:c r="C3" s="7" t="str">
        <x:v>G no es un multiplicador. Registre el factor, su evidencia y la razón jurídica o técnica por la que importa.</x:v>
      </x:c>
      <x:c r="D3" s="7" t="str">
        <x:v>G no es un multiplicador. Registre el factor, su evidencia y la razón jurídica o técnica por la que importa.</x:v>
      </x:c>
      <x:c r="E3" s="7" t="str">
        <x:v>G no es un multiplicador. Registre el factor, su evidencia y la razón jurídica o técnica por la que importa.</x:v>
      </x:c>
      <x:c r="F3" s="7" t="str">
        <x:v>G no es un multiplicador. Registre el factor, su evidencia y la razón jurídica o técnica por la que importa.</x:v>
      </x:c>
    </x:row>
    <x:row r="4">
      <x:c r="A4" s="34"/>
      <x:c r="B4" s="34"/>
      <x:c r="C4" s="34"/>
      <x:c r="D4" s="34"/>
      <x:c r="E4" s="34"/>
      <x:c r="F4" s="34"/>
    </x:row>
    <x:row r="5" ht="34" customHeight="1">
      <x:c r="A5" s="28" t="str">
        <x:v>Factor G</x:v>
      </x:c>
      <x:c r="B5" s="28" t="str">
        <x:v>Presente</x:v>
      </x:c>
      <x:c r="C5" s="28" t="str">
        <x:v>Evidencia</x:v>
      </x:c>
      <x:c r="D5" s="28" t="str">
        <x:v>Fundamento</x:v>
      </x:c>
      <x:c r="E5" s="34"/>
      <x:c r="F5" s="34"/>
    </x:row>
    <x:row r="6">
      <x:c r="A6" s="13" t="str">
        <x:v>Muerte o pérdida irreversible</x:v>
      </x:c>
      <x:c r="B6" s="21" t="str">
        <x:v>No determinado</x:v>
      </x:c>
      <x:c r="C6" s="21" t="str"/>
      <x:c r="D6" s="21" t="str"/>
      <x:c r="E6" s="34"/>
      <x:c r="F6" s="34"/>
    </x:row>
    <x:row r="7">
      <x:c r="A7" s="13" t="str">
        <x:v>Sufrimiento grave</x:v>
      </x:c>
      <x:c r="B7" s="21" t="str">
        <x:v>No determinado</x:v>
      </x:c>
      <x:c r="C7" s="21" t="str"/>
      <x:c r="D7" s="21" t="str"/>
      <x:c r="E7" s="34"/>
      <x:c r="F7" s="34"/>
    </x:row>
    <x:row r="8">
      <x:c r="A8" s="13" t="str">
        <x:v>Intencionalidad</x:v>
      </x:c>
      <x:c r="B8" s="21" t="str">
        <x:v>No determinado</x:v>
      </x:c>
      <x:c r="C8" s="21" t="str"/>
      <x:c r="D8" s="21" t="str"/>
      <x:c r="E8" s="34"/>
      <x:c r="F8" s="34"/>
    </x:row>
    <x:row r="9">
      <x:c r="A9" s="13" t="str">
        <x:v>Daño de lenta recuperación</x:v>
      </x:c>
      <x:c r="B9" s="21" t="str">
        <x:v>No determinado</x:v>
      </x:c>
      <x:c r="C9" s="21" t="str"/>
      <x:c r="D9" s="21" t="str"/>
      <x:c r="E9" s="34"/>
      <x:c r="F9" s="34"/>
    </x:row>
    <x:row r="10">
      <x:c r="A10" s="13" t="str">
        <x:v>Especial protección</x:v>
      </x:c>
      <x:c r="B10" s="21" t="str">
        <x:v>No determinado</x:v>
      </x:c>
      <x:c r="C10" s="21" t="str"/>
      <x:c r="D10" s="21" t="str"/>
      <x:c r="E10" s="34"/>
      <x:c r="F10" s="34"/>
    </x:row>
    <x:row r="11">
      <x:c r="A11" s="13" t="str">
        <x:v>Afectación reproductiva o poblacional</x:v>
      </x:c>
      <x:c r="B11" s="21" t="str">
        <x:v>No determinado</x:v>
      </x:c>
      <x:c r="C11" s="21" t="str"/>
      <x:c r="D11" s="21" t="str"/>
      <x:c r="E11" s="34"/>
      <x:c r="F11" s="34"/>
    </x:row>
    <x:row r="12">
      <x:c r="A12" s="13" t="str">
        <x:v>Otro factor jurídicamente relevante</x:v>
      </x:c>
      <x:c r="B12" s="21" t="str">
        <x:v>No determinado</x:v>
      </x:c>
      <x:c r="C12" s="21" t="str"/>
      <x:c r="D12" s="21" t="str"/>
      <x:c r="E12" s="34"/>
      <x:c r="F12" s="34"/>
    </x:row>
    <x:row r="13">
      <x:c r="A13" s="34"/>
      <x:c r="B13" s="34"/>
      <x:c r="C13" s="34"/>
      <x:c r="D13" s="34"/>
      <x:c r="E13" s="34"/>
      <x:c r="F13" s="34"/>
    </x:row>
    <x:row r="14">
      <x:c r="A14" s="34"/>
      <x:c r="B14" s="34"/>
      <x:c r="C14" s="34"/>
      <x:c r="D14" s="34"/>
      <x:c r="E14" s="34"/>
      <x:c r="F14" s="34"/>
    </x:row>
    <x:row r="15" ht="22" customHeight="1">
      <x:c r="A15" s="10" t="str">
        <x:v>Daños o valores que permanecen no monetizados</x:v>
      </x:c>
      <x:c r="B15" s="10" t="str">
        <x:v>Daños o valores que permanecen no monetizados</x:v>
      </x:c>
      <x:c r="C15" s="10" t="str">
        <x:v>Daños o valores que permanecen no monetizados</x:v>
      </x:c>
      <x:c r="D15" s="10" t="str">
        <x:v>Daños o valores que permanecen no monetizados</x:v>
      </x:c>
      <x:c r="E15" s="10" t="str">
        <x:v>Daños o valores que permanecen no monetizados</x:v>
      </x:c>
      <x:c r="F15" s="10" t="str">
        <x:v>Daños o valores que permanecen no monetizados</x:v>
      </x:c>
    </x:row>
    <x:row r="16" ht="34" customHeight="1">
      <x:c r="A16" s="28" t="str">
        <x:v>Cuenta</x:v>
      </x:c>
      <x:c r="B16" s="28" t="str">
        <x:v>Indicador o efecto</x:v>
      </x:c>
      <x:c r="C16" s="28" t="str">
        <x:v>Magnitud</x:v>
      </x:c>
      <x:c r="D16" s="28" t="str">
        <x:v>Unidad</x:v>
      </x:c>
      <x:c r="E16" s="28" t="str">
        <x:v>Razón para no monetizar</x:v>
      </x:c>
      <x:c r="F16" s="28" t="str">
        <x:v>Fuente</x:v>
      </x:c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</x:sheetData>
  <x:mergeCells>
    <x:mergeCell ref="A2:F2"/>
    <x:mergeCell ref="A3:F3"/>
    <x:mergeCell ref="A15:F15"/>
  </x:mergeCells>
  <x:dataValidations count="2">
    <x:dataValidation type="list" sqref="B6:B12">
      <x:formula1>"Sí,No,No determinado"</x:formula1>
    </x:dataValidation>
    <x:dataValidation type="list" sqref="A17:A36">
      <x:formula1>"A1,A2,B,C,D,E,R,G"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34" hidden="0" customWidth="1"/>
    <x:col min="4" max="4" width="26" hidden="0" customWidth="1"/>
    <x:col min="5" max="5" width="18" hidden="0" customWidth="1"/>
    <x:col min="6" max="6" width="4" hidden="0" customWidth="1"/>
  </x:cols>
  <x:sheetData>
    <x:row r="2" ht="28" customHeight="1">
      <x:c r="A2" s="3" t="str">
        <x:v>Revisión técnica económica y jurídica</x:v>
      </x:c>
      <x:c r="B2" s="3" t="str">
        <x:v>Revisión técnica económica y jurídica</x:v>
      </x:c>
      <x:c r="C2" s="3" t="str">
        <x:v>Revisión técnica económica y jurídica</x:v>
      </x:c>
      <x:c r="D2" s="3" t="str">
        <x:v>Revisión técnica económica y jurídica</x:v>
      </x:c>
      <x:c r="E2" s="3" t="str">
        <x:v>Revisión técnica económica y jurídica</x:v>
      </x:c>
      <x:c r="F2" s="3" t="str">
        <x:v>Revisión técnica económica y jurídica</x:v>
      </x:c>
    </x:row>
    <x:row r="3" ht="30" customHeight="1">
      <x:c r="A3" s="7" t="str">
        <x:v>Marque Sí solo cuando el control esté completo. El resumen seguirá mostrando pendientes mientras exista un No o una celda vacía.</x:v>
      </x:c>
      <x:c r="B3" s="7" t="str">
        <x:v>Marque Sí solo cuando el control esté completo. El resumen seguirá mostrando pendientes mientras exista un No o una celda vacía.</x:v>
      </x:c>
      <x:c r="C3" s="7" t="str">
        <x:v>Marque Sí solo cuando el control esté completo. El resumen seguirá mostrando pendientes mientras exista un No o una celda vacía.</x:v>
      </x:c>
      <x:c r="D3" s="7" t="str">
        <x:v>Marque Sí solo cuando el control esté completo. El resumen seguirá mostrando pendientes mientras exista un No o una celda vacía.</x:v>
      </x:c>
      <x:c r="E3" s="7" t="str">
        <x:v>Marque Sí solo cuando el control esté completo. El resumen seguirá mostrando pendientes mientras exista un No o una celda vacía.</x:v>
      </x:c>
      <x:c r="F3" s="7" t="str">
        <x:v>Marque Sí solo cuando el control esté completo. El resumen seguirá mostrando pendientes mientras exista un No o una celda vacía.</x:v>
      </x:c>
    </x:row>
    <x:row r="4">
      <x:c r="A4" s="34"/>
      <x:c r="B4" s="34"/>
      <x:c r="C4" s="34"/>
      <x:c r="D4" s="34"/>
      <x:c r="E4" s="34"/>
      <x:c r="F4" s="34"/>
    </x:row>
    <x:row r="5" ht="34" customHeight="1">
      <x:c r="A5" s="28" t="str">
        <x:v>Control</x:v>
      </x:c>
      <x:c r="B5" s="28" t="str">
        <x:v>Estado</x:v>
      </x:c>
      <x:c r="C5" s="28" t="str">
        <x:v>Evidencia o ubicación</x:v>
      </x:c>
      <x:c r="D5" s="28" t="str">
        <x:v>Responsable</x:v>
      </x:c>
      <x:c r="E5" s="34"/>
      <x:c r="F5" s="34"/>
    </x:row>
    <x:row r="6">
      <x:c r="A6" s="13" t="str">
        <x:v>Hecho y receptor identificados</x:v>
      </x:c>
      <x:c r="B6" s="21" t="str">
        <x:v>No</x:v>
      </x:c>
      <x:c r="C6" s="21" t="str"/>
      <x:c r="D6" s="21" t="str"/>
      <x:c r="E6" s="34"/>
      <x:c r="F6" s="34"/>
    </x:row>
    <x:row r="7">
      <x:c r="A7" s="13" t="str">
        <x:v>Línea base y causalidad documentadas</x:v>
      </x:c>
      <x:c r="B7" s="21" t="str">
        <x:v>No</x:v>
      </x:c>
      <x:c r="C7" s="21" t="str"/>
      <x:c r="D7" s="21" t="str"/>
      <x:c r="E7" s="34"/>
      <x:c r="F7" s="34"/>
    </x:row>
    <x:row r="8">
      <x:c r="A8" s="13" t="str">
        <x:v>Unidades y años de precios compatibles</x:v>
      </x:c>
      <x:c r="B8" s="21" t="str">
        <x:v>No</x:v>
      </x:c>
      <x:c r="C8" s="21" t="str"/>
      <x:c r="D8" s="21" t="str"/>
      <x:c r="E8" s="34"/>
      <x:c r="F8" s="34"/>
    </x:row>
    <x:row r="9">
      <x:c r="A9" s="13" t="str">
        <x:v>Datos observados separados de estimaciones</x:v>
      </x:c>
      <x:c r="B9" s="21" t="str">
        <x:v>No</x:v>
      </x:c>
      <x:c r="C9" s="21" t="str"/>
      <x:c r="D9" s="21" t="str"/>
      <x:c r="E9" s="34"/>
      <x:c r="F9" s="34"/>
    </x:row>
    <x:row r="10">
      <x:c r="A10" s="13" t="str">
        <x:v>Fuentes y evidencia registradas</x:v>
      </x:c>
      <x:c r="B10" s="21" t="str">
        <x:v>No</x:v>
      </x:c>
      <x:c r="C10" s="21" t="str"/>
      <x:c r="D10" s="21" t="str"/>
      <x:c r="E10" s="34"/>
      <x:c r="F10" s="34"/>
    </x:row>
    <x:row r="11">
      <x:c r="A11" s="13" t="str">
        <x:v>Rangos y sensibilidad revisados</x:v>
      </x:c>
      <x:c r="B11" s="21" t="str">
        <x:v>No</x:v>
      </x:c>
      <x:c r="C11" s="21" t="str"/>
      <x:c r="D11" s="21" t="str"/>
      <x:c r="E11" s="34"/>
      <x:c r="F11" s="34"/>
    </x:row>
    <x:row r="12">
      <x:c r="A12" s="13" t="str">
        <x:v>A2 y R no reparan dos veces la misma pérdida</x:v>
      </x:c>
      <x:c r="B12" s="21" t="str">
        <x:v>No</x:v>
      </x:c>
      <x:c r="C12" s="21" t="str"/>
      <x:c r="D12" s="21" t="str"/>
      <x:c r="E12" s="34"/>
      <x:c r="F12" s="34"/>
    </x:row>
    <x:row r="13">
      <x:c r="A13" s="13" t="str">
        <x:v>B descuenta servicios restituidos por R</x:v>
      </x:c>
      <x:c r="B13" s="21" t="str">
        <x:v>No</x:v>
      </x:c>
      <x:c r="C13" s="21" t="str"/>
      <x:c r="D13" s="21" t="str"/>
      <x:c r="E13" s="34"/>
      <x:c r="F13" s="34"/>
    </x:row>
    <x:row r="14">
      <x:c r="A14" s="13" t="str">
        <x:v>UICN y CITES no se usaron como multiplicadores</x:v>
      </x:c>
      <x:c r="B14" s="21" t="str">
        <x:v>No</x:v>
      </x:c>
      <x:c r="C14" s="21" t="str"/>
      <x:c r="D14" s="21" t="str"/>
      <x:c r="E14" s="34"/>
      <x:c r="F14" s="34"/>
    </x:row>
    <x:row r="15">
      <x:c r="A15" s="13" t="str">
        <x:v>G permanece separada del cálculo monetario</x:v>
      </x:c>
      <x:c r="B15" s="21" t="str">
        <x:v>No</x:v>
      </x:c>
      <x:c r="C15" s="21" t="str"/>
      <x:c r="D15" s="21" t="str"/>
      <x:c r="E15" s="34"/>
      <x:c r="F15" s="34"/>
    </x:row>
    <x:row r="16">
      <x:c r="A16" s="13" t="str">
        <x:v>Versión, fecha y responsables confirmados</x:v>
      </x:c>
      <x:c r="B16" s="21" t="str">
        <x:v>No</x:v>
      </x:c>
      <x:c r="C16" s="21" t="str"/>
      <x:c r="D16" s="21" t="str"/>
      <x:c r="E16" s="34"/>
      <x:c r="F16" s="34"/>
    </x:row>
    <x:row r="17">
      <x:c r="A17" s="50" t="str">
        <x:v>Multas Ley 7317 seleccionadas y revisadas jurídicamente</x:v>
      </x:c>
      <x:c r="B17" s="60" t="str">
        <x:v>No</x:v>
      </x:c>
      <x:c r="C17" s="50"/>
      <x:c r="D17" s="50"/>
      <x:c r="E17" s="34"/>
      <x:c r="F17" s="34"/>
    </x:row>
    <x:row r="18">
      <x:c r="A18" s="13" t="str">
        <x:v>Controles pendientes</x:v>
      </x:c>
      <x:c r="B18" s="29" t="n">
        <x:f>COUNTIF(B6:B17,"No")+COUNTBLANK(B6:B17)</x:f>
        <x:v>12</x:v>
      </x:c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 ht="22" customHeight="1">
      <x:c r="A21" s="10" t="str">
        <x:v>Aprobaciones</x:v>
      </x:c>
      <x:c r="B21" s="10" t="str">
        <x:v>Aprobaciones</x:v>
      </x:c>
      <x:c r="C21" s="10" t="str">
        <x:v>Aprobaciones</x:v>
      </x:c>
      <x:c r="D21" s="10" t="str">
        <x:v>Aprobaciones</x:v>
      </x:c>
      <x:c r="E21" s="10" t="str">
        <x:v>Aprobaciones</x:v>
      </x:c>
      <x:c r="F21" s="10" t="str">
        <x:v>Aprobaciones</x:v>
      </x:c>
    </x:row>
    <x:row r="22" ht="34" customHeight="1">
      <x:c r="A22" s="28" t="str">
        <x:v>Rol</x:v>
      </x:c>
      <x:c r="B22" s="28" t="str">
        <x:v>Nombre</x:v>
      </x:c>
      <x:c r="C22" s="28" t="str">
        <x:v>Decisión</x:v>
      </x:c>
      <x:c r="D22" s="28" t="str">
        <x:v>Fecha</x:v>
      </x:c>
      <x:c r="E22" s="28" t="str">
        <x:v>Observación</x:v>
      </x:c>
      <x:c r="F22" s="34"/>
    </x:row>
    <x:row r="23">
      <x:c r="A23" s="13" t="str">
        <x:v>Revisión biológica</x:v>
      </x:c>
      <x:c r="B23" s="21" t="str"/>
      <x:c r="C23" s="21" t="str">
        <x:v>Pendiente</x:v>
      </x:c>
      <x:c r="D23" s="22"/>
      <x:c r="E23" s="21" t="str"/>
      <x:c r="F23" s="34"/>
    </x:row>
    <x:row r="24">
      <x:c r="A24" s="13" t="str">
        <x:v>Revisión económica</x:v>
      </x:c>
      <x:c r="B24" s="21" t="str"/>
      <x:c r="C24" s="21" t="str">
        <x:v>Pendiente</x:v>
      </x:c>
      <x:c r="D24" s="22"/>
      <x:c r="E24" s="21" t="str"/>
      <x:c r="F24" s="34"/>
    </x:row>
    <x:row r="25">
      <x:c r="A25" s="13" t="str">
        <x:v>Revisión jurídica</x:v>
      </x:c>
      <x:c r="B25" s="21" t="str"/>
      <x:c r="C25" s="21" t="str">
        <x:v>Pendiente</x:v>
      </x:c>
      <x:c r="D25" s="22"/>
      <x:c r="E25" s="21" t="str"/>
      <x:c r="F25" s="34"/>
    </x:row>
  </x:sheetData>
  <x:mergeCells>
    <x:mergeCell ref="A2:F2"/>
    <x:mergeCell ref="A3:F3"/>
    <x:mergeCell ref="A21:F21"/>
  </x:mergeCells>
  <x:dataValidations count="3">
    <x:dataValidation type="list" sqref="B6:B16">
      <x:formula1>"Sí,No,No aplica"</x:formula1>
    </x:dataValidation>
    <x:dataValidation type="list" sqref="C23:C25">
      <x:formula1>"Pendiente,Aprobada,Devuelta"</x:formula1>
    </x:dataValidation>
    <x:dataValidation type="list" sqref="B17">
      <x:formula1>"Sí,No"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58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44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</x:cols>
  <x:sheetData>
    <x:row r="1" ht="28" customHeight="1">
      <x:c r="A1" s="37" t="str">
        <x:v>Multas aplicables · Ley N.° 7317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 ht="42" customHeight="1">
      <x:c r="A2" s="41" t="str">
        <x:v>Seleccione únicamente las conductas confirmadas por la revisión jurídica. Las multas se mantienen separadas del daño ambiental y se trasladan al cierre monetario del RESUMEN.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>
      <x:c r="A4" s="50" t="str">
        <x:v>Salario base Ley 7337 (CRC)</x:v>
      </x:c>
      <x:c r="B4" s="62" t="n">
        <x:v>462200</x:v>
      </x:c>
      <x:c r="D4" s="48" t="str">
        <x:v>Escenario</x:v>
      </x:c>
      <x:c r="E4" s="48" t="str">
        <x:v>Total en CRC</x:v>
      </x:c>
      <x:c r="G4" s="48" t="str">
        <x:v>Escenario</x:v>
      </x:c>
      <x:c r="H4" s="48" t="str">
        <x:v>Total en moneda del caso</x:v>
      </x:c>
    </x:row>
    <x:row r="5">
      <x:c r="A5" s="50" t="str">
        <x:v>Año del salario base</x:v>
      </x:c>
      <x:c r="B5" s="60" t="n">
        <x:v>2026</x:v>
      </x:c>
      <x:c r="D5" s="50" t="str">
        <x:v>Bajo</x:v>
      </x:c>
      <x:c r="E5" s="65" t="n">
        <x:f>SUM(K12:K46)</x:f>
        <x:v>0</x:v>
      </x:c>
      <x:c r="G5" s="50" t="str">
        <x:v>Bajo</x:v>
      </x:c>
      <x:c r="H5" s="66" t="n">
        <x:f>IF($B$7&gt;0,E5/$B$7,"")</x:f>
        <x:v>0</x:v>
      </x:c>
    </x:row>
    <x:row r="6">
      <x:c r="A6" s="50" t="str">
        <x:v>Moneda del caso</x:v>
      </x:c>
      <x:c r="B6" s="50" t="str">
        <x:f>CASO!B13</x:f>
        <x:v>CRC</x:v>
      </x:c>
      <x:c r="D6" s="50" t="str">
        <x:v>Central o firme</x:v>
      </x:c>
      <x:c r="E6" s="65" t="n">
        <x:f>SUM(L12:L46)</x:f>
        <x:v>0</x:v>
      </x:c>
      <x:c r="G6" s="50" t="str">
        <x:v>Central o firme</x:v>
      </x:c>
      <x:c r="H6" s="66" t="n">
        <x:f>IF($B$7&gt;0,E6/$B$7,"")</x:f>
        <x:v>0</x:v>
      </x:c>
    </x:row>
    <x:row r="7">
      <x:c r="A7" s="50" t="str">
        <x:v>CRC por 1 unidad de moneda del caso</x:v>
      </x:c>
      <x:c r="B7" s="60" t="n">
        <x:v>1</x:v>
      </x:c>
      <x:c r="D7" s="50" t="str">
        <x:v>Alto</x:v>
      </x:c>
      <x:c r="E7" s="65" t="n">
        <x:f>SUM(M12:M46)</x:f>
        <x:v>0</x:v>
      </x:c>
      <x:c r="G7" s="50" t="str">
        <x:v>Alto</x:v>
      </x:c>
      <x:c r="H7" s="66" t="n">
        <x:f>IF($B$7&gt;0,E7/$B$7,"")</x:f>
        <x:v>0</x:v>
      </x:c>
    </x:row>
    <x:row r="8">
      <x:c r="A8" s="50" t="str">
        <x:v>Fuente del salario base</x:v>
      </x:c>
      <x:c r="B8" s="50" t="str">
        <x:v>Poder Judicial · salario base 2026</x:v>
      </x:c>
    </x:row>
    <x:row r="9">
      <x:c r="A9" s="50" t="str">
        <x:v>Fuente legal</x:v>
      </x:c>
      <x:c r="B9" s="50" t="str">
        <x:v>PGR · texto consolidado de la Ley 7317</x:v>
      </x:c>
    </x:row>
    <x:row r="10">
      <x:c r="A10" s="44" t="str">
        <x:v>Seleccione las multas aplicables</x:v>
      </x:c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 ht="48" customHeight="1">
      <x:c r="A11" s="48" t="str">
        <x:v>SELECCIONAR</x:v>
      </x:c>
      <x:c r="B11" s="48" t="str">
        <x:v>ARTÍCULO</x:v>
      </x:c>
      <x:c r="C11" s="48" t="str">
        <x:v>TIPO</x:v>
      </x:c>
      <x:c r="D11" s="48" t="str">
        <x:v>CONDUCTA SANCIONADA</x:v>
      </x:c>
      <x:c r="E11" s="48" t="str">
        <x:v>MÍN_SB</x:v>
      </x:c>
      <x:c r="F11" s="48" t="str">
        <x:v>SB APLICADOS</x:v>
      </x:c>
      <x:c r="G11" s="48" t="str">
        <x:v>MÁX_SB</x:v>
      </x:c>
      <x:c r="H11" s="48" t="str">
        <x:v>MONTO FIRME CRC</x:v>
      </x:c>
      <x:c r="I11" s="48" t="str">
        <x:v>OTRAS CONSECUENCIAS</x:v>
      </x:c>
      <x:c r="J11" s="48" t="str">
        <x:v>FUENTE</x:v>
      </x:c>
      <x:c r="K11" s="48" t="str">
        <x:v>BAJO CRC</x:v>
      </x:c>
      <x:c r="L11" s="48" t="str">
        <x:v>CENTRAL/FIRME CRC</x:v>
      </x:c>
      <x:c r="M11" s="48" t="str">
        <x:v>ALTO CRC</x:v>
      </x:c>
      <x:c r="N11" s="48" t="str">
        <x:v>OBSERVACIONES DEL CASO</x:v>
      </x:c>
    </x:row>
    <x:row r="12" ht="58" customHeight="1">
      <x:c r="A12" s="60" t="str">
        <x:v>☐ No</x:v>
      </x:c>
      <x:c r="B12" s="50" t="str">
        <x:v>90</x:v>
      </x:c>
      <x:c r="C12" s="50" t="str">
        <x:v>Delito</x:v>
      </x:c>
      <x:c r="D12" s="50" t="str">
        <x:v>Extraer o destruir, sin autorización, plantas o sus productos en áreas oficiales de protección o áreas privadas autorizadas.</x:v>
      </x:c>
      <x:c r="E12" s="67" t="n">
        <x:v>1</x:v>
      </x:c>
      <x:c r="F12" s="68" t="n">
        <x:v>2</x:v>
      </x:c>
      <x:c r="G12" s="67" t="n">
        <x:v>3</x:v>
      </x:c>
      <x:c r="H12" s="62"/>
      <x:c r="I12" s="50" t="str">
        <x:v>Multa o prisión de 2 a 4 meses; comiso de las piezas.</x:v>
      </x:c>
      <x:c r="J12" s="50" t="str">
        <x:v>Ley 7317, texto consolidado PGR</x:v>
      </x:c>
      <x:c r="K12" s="63" t="n">
        <x:f>IF($A12="☑ Sí",$E12*$B$4,0)</x:f>
        <x:v>0</x:v>
      </x:c>
      <x:c r="L12" s="63" t="n">
        <x:f>IF($A12="☑ Sí",IF($H12&gt;0,$H12,$F12*$B$4),0)</x:f>
        <x:v>0</x:v>
      </x:c>
      <x:c r="M12" s="63" t="n">
        <x:f>IF($A12="☑ Sí",$G12*$B$4,0)</x:f>
        <x:v>0</x:v>
      </x:c>
      <x:c r="N12" s="60"/>
    </x:row>
    <x:row r="13" ht="58" customHeight="1">
      <x:c r="A13" s="60" t="str">
        <x:v>☐ No</x:v>
      </x:c>
      <x:c r="B13" s="50" t="str">
        <x:v>91(a)</x:v>
      </x:c>
      <x:c r="C13" s="50" t="str">
        <x:v>Delito</x:v>
      </x:c>
      <x:c r="D13" s="50" t="str">
        <x:v>Importar o exportar flora silvestre en peligro, con poblaciones reducidas o incluida en CITES, sin autorización.</x:v>
      </x:c>
      <x:c r="E13" s="67" t="n">
        <x:v>1</x:v>
      </x:c>
      <x:c r="F13" s="68" t="n">
        <x:v>5.5</x:v>
      </x:c>
      <x:c r="G13" s="67" t="n">
        <x:v>10</x:v>
      </x:c>
      <x:c r="H13" s="62"/>
      <x:c r="I13" s="50" t="str">
        <x:v>Multa o prisión de 2 a 4 meses; comiso de las piezas.</x:v>
      </x:c>
      <x:c r="J13" s="50" t="str">
        <x:v>Ley 7317, texto consolidado PGR</x:v>
      </x:c>
      <x:c r="K13" s="63" t="n">
        <x:f>IF($A13="☑ Sí",$E13*$B$4,0)</x:f>
        <x:v>0</x:v>
      </x:c>
      <x:c r="L13" s="63" t="n">
        <x:f>IF($A13="☑ Sí",IF($H13&gt;0,$H13,$F13*$B$4),0)</x:f>
        <x:v>0</x:v>
      </x:c>
      <x:c r="M13" s="63" t="n">
        <x:f>IF($A13="☑ Sí",$G13*$B$4,0)</x:f>
        <x:v>0</x:v>
      </x:c>
      <x:c r="N13" s="60"/>
    </x:row>
    <x:row r="14" ht="58" customHeight="1">
      <x:c r="A14" s="60" t="str">
        <x:v>☐ No</x:v>
      </x:c>
      <x:c r="B14" s="50" t="str">
        <x:v>91(b)</x:v>
      </x:c>
      <x:c r="C14" s="50" t="str">
        <x:v>Delito</x:v>
      </x:c>
      <x:c r="D14" s="50" t="str">
        <x:v>Importar o exportar productos o subproductos de árboles maderables en peligro, con poblaciones reducidas e incluidos en CITES, sin autorización.</x:v>
      </x:c>
      <x:c r="E14" s="67" t="n">
        <x:v>5</x:v>
      </x:c>
      <x:c r="F14" s="68" t="n">
        <x:v>10</x:v>
      </x:c>
      <x:c r="G14" s="67" t="n">
        <x:v>15</x:v>
      </x:c>
      <x:c r="H14" s="62"/>
      <x:c r="I14" s="50" t="str">
        <x:v>Multa o prisión de 3 a 6 meses.</x:v>
      </x:c>
      <x:c r="J14" s="50" t="str">
        <x:v>Ley 7317, texto consolidado PGR</x:v>
      </x:c>
      <x:c r="K14" s="63" t="n">
        <x:f>IF($A14="☑ Sí",$E14*$B$4,0)</x:f>
        <x:v>0</x:v>
      </x:c>
      <x:c r="L14" s="63" t="n">
        <x:f>IF($A14="☑ Sí",IF($H14&gt;0,$H14,$F14*$B$4),0)</x:f>
        <x:v>0</x:v>
      </x:c>
      <x:c r="M14" s="63" t="n">
        <x:f>IF($A14="☑ Sí",$G14*$B$4,0)</x:f>
        <x:v>0</x:v>
      </x:c>
      <x:c r="N14" s="60"/>
    </x:row>
    <x:row r="15" ht="58" customHeight="1">
      <x:c r="A15" s="60" t="str">
        <x:v>☐ No</x:v>
      </x:c>
      <x:c r="B15" s="50" t="str">
        <x:v>91(c)</x:v>
      </x:c>
      <x:c r="C15" s="50" t="str">
        <x:v>Delito</x:v>
      </x:c>
      <x:c r="D15" s="50" t="str">
        <x:v>Importar o exportar plantas que no están en peligro de extinción, sin autorización.</x:v>
      </x:c>
      <x:c r="E15" s="67" t="n">
        <x:v>0.5</x:v>
      </x:c>
      <x:c r="F15" s="68" t="n">
        <x:v>1</x:v>
      </x:c>
      <x:c r="G15" s="67" t="n">
        <x:v>1.5</x:v>
      </x:c>
      <x:c r="H15" s="62"/>
      <x:c r="I15" s="50" t="str">
        <x:v>Multa equivalente al 50 % del rango de 1 a 3 salarios base, o prisión de 1 a 3 meses; comiso.</x:v>
      </x:c>
      <x:c r="J15" s="50" t="str">
        <x:v>Ley 7317, texto consolidado PGR</x:v>
      </x:c>
      <x:c r="K15" s="63" t="n">
        <x:f>IF($A15="☑ Sí",$E15*$B$4,0)</x:f>
        <x:v>0</x:v>
      </x:c>
      <x:c r="L15" s="63" t="n">
        <x:f>IF($A15="☑ Sí",IF($H15&gt;0,$H15,$F15*$B$4),0)</x:f>
        <x:v>0</x:v>
      </x:c>
      <x:c r="M15" s="63" t="n">
        <x:f>IF($A15="☑ Sí",$G15*$B$4,0)</x:f>
        <x:v>0</x:v>
      </x:c>
      <x:c r="N15" s="60"/>
    </x:row>
    <x:row r="16" ht="58" customHeight="1">
      <x:c r="A16" s="60" t="str">
        <x:v>☐ No</x:v>
      </x:c>
      <x:c r="B16" s="50" t="str">
        <x:v>92</x:v>
      </x:c>
      <x:c r="C16" s="50" t="str">
        <x:v>Delito</x:v>
      </x:c>
      <x:c r="D16" s="50" t="str">
        <x:v>Comerciar, negociar, traficar o trasegar flora protegida, sus productos o subproductos, sin permiso.</x:v>
      </x:c>
      <x:c r="E16" s="67" t="n">
        <x:v>5</x:v>
      </x:c>
      <x:c r="F16" s="68" t="n">
        <x:v>7.5</x:v>
      </x:c>
      <x:c r="G16" s="67" t="n">
        <x:v>10</x:v>
      </x:c>
      <x:c r="H16" s="62"/>
      <x:c r="I16" s="50" t="str">
        <x:v>Multa o prisión de 3 a 6 meses; comiso.</x:v>
      </x:c>
      <x:c r="J16" s="50" t="str">
        <x:v>Ley 7317, texto consolidado PGR</x:v>
      </x:c>
      <x:c r="K16" s="63" t="n">
        <x:f>IF($A16="☑ Sí",$E16*$B$4,0)</x:f>
        <x:v>0</x:v>
      </x:c>
      <x:c r="L16" s="63" t="n">
        <x:f>IF($A16="☑ Sí",IF($H16&gt;0,$H16,$F16*$B$4),0)</x:f>
        <x:v>0</x:v>
      </x:c>
      <x:c r="M16" s="63" t="n">
        <x:f>IF($A16="☑ Sí",$G16*$B$4,0)</x:f>
        <x:v>0</x:v>
      </x:c>
      <x:c r="N16" s="60"/>
    </x:row>
    <x:row r="17" ht="58" customHeight="1">
      <x:c r="A17" s="60" t="str">
        <x:v>☐ No</x:v>
      </x:c>
      <x:c r="B17" s="50" t="str">
        <x:v>93(b)</x:v>
      </x:c>
      <x:c r="C17" s="50" t="str">
        <x:v>Delito</x:v>
      </x:c>
      <x:c r="D17" s="50" t="str">
        <x:v>Cazar o capturar fauna no amenazada en áreas oficiales o privadas autorizadas, o individuos incluidos en investigación autorizada.</x:v>
      </x:c>
      <x:c r="E17" s="67" t="n">
        <x:v>10</x:v>
      </x:c>
      <x:c r="F17" s="68" t="n">
        <x:v>20</x:v>
      </x:c>
      <x:c r="G17" s="67" t="n">
        <x:v>30</x:v>
      </x:c>
      <x:c r="H17" s="62"/>
      <x:c r="I17" s="50" t="str">
        <x:v>Multa o prisión de 6 meses a 1 año; comiso de equipo y piezas.</x:v>
      </x:c>
      <x:c r="J17" s="50" t="str">
        <x:v>Ley 7317, texto consolidado PGR</x:v>
      </x:c>
      <x:c r="K17" s="63" t="n">
        <x:f>IF($A17="☑ Sí",$E17*$B$4,0)</x:f>
        <x:v>0</x:v>
      </x:c>
      <x:c r="L17" s="63" t="n">
        <x:f>IF($A17="☑ Sí",IF($H17&gt;0,$H17,$F17*$B$4),0)</x:f>
        <x:v>0</x:v>
      </x:c>
      <x:c r="M17" s="63" t="n">
        <x:f>IF($A17="☑ Sí",$G17*$B$4,0)</x:f>
        <x:v>0</x:v>
      </x:c>
      <x:c r="N17" s="60"/>
    </x:row>
    <x:row r="18" ht="58" customHeight="1">
      <x:c r="A18" s="60" t="str">
        <x:v>☐ No</x:v>
      </x:c>
      <x:c r="B18" s="50" t="str">
        <x:v>93(c)</x:v>
      </x:c>
      <x:c r="C18" s="50" t="str">
        <x:v>Delito</x:v>
      </x:c>
      <x:c r="D18" s="50" t="str">
        <x:v>Cazar fauna sujeta a veda que no esté comprendida en los incisos anteriores.</x:v>
      </x:c>
      <x:c r="E18" s="67" t="n">
        <x:v>1</x:v>
      </x:c>
      <x:c r="F18" s="68" t="n">
        <x:v>3</x:v>
      </x:c>
      <x:c r="G18" s="67" t="n">
        <x:v>5</x:v>
      </x:c>
      <x:c r="H18" s="62"/>
      <x:c r="I18" s="50" t="str">
        <x:v>Multa o prisión de 2 a 4 meses; comiso de armas y piezas.</x:v>
      </x:c>
      <x:c r="J18" s="50" t="str">
        <x:v>Ley 7317, texto consolidado PGR</x:v>
      </x:c>
      <x:c r="K18" s="63" t="n">
        <x:f>IF($A18="☑ Sí",$E18*$B$4,0)</x:f>
        <x:v>0</x:v>
      </x:c>
      <x:c r="L18" s="63" t="n">
        <x:f>IF($A18="☑ Sí",IF($H18&gt;0,$H18,$F18*$B$4),0)</x:f>
        <x:v>0</x:v>
      </x:c>
      <x:c r="M18" s="63" t="n">
        <x:f>IF($A18="☑ Sí",$G18*$B$4,0)</x:f>
        <x:v>0</x:v>
      </x:c>
      <x:c r="N18" s="60"/>
    </x:row>
    <x:row r="19" ht="58" customHeight="1">
      <x:c r="A19" s="60" t="str">
        <x:v>☐ No</x:v>
      </x:c>
      <x:c r="B19" s="50" t="str">
        <x:v>94</x:v>
      </x:c>
      <x:c r="C19" s="50" t="str">
        <x:v>Delito</x:v>
      </x:c>
      <x:c r="D19" s="50" t="str">
        <x:v>Usar sin autorización venenos, materiales peligrosos, explosivos, plaguicidas u otro método capaz de eliminar fauna y poner en peligro su subsistencia regional.</x:v>
      </x:c>
      <x:c r="E19" s="67" t="n">
        <x:v>10</x:v>
      </x:c>
      <x:c r="F19" s="68" t="n">
        <x:v>20</x:v>
      </x:c>
      <x:c r="G19" s="67" t="n">
        <x:v>30</x:v>
      </x:c>
      <x:c r="H19" s="62"/>
      <x:c r="I19" s="50" t="str">
        <x:v>Multa o prisión de 1 a 2 años; pérdida del equipo o material; salvo delito más grave.</x:v>
      </x:c>
      <x:c r="J19" s="50" t="str">
        <x:v>Ley 7317, texto consolidado PGR</x:v>
      </x:c>
      <x:c r="K19" s="63" t="n">
        <x:f>IF($A19="☑ Sí",$E19*$B$4,0)</x:f>
        <x:v>0</x:v>
      </x:c>
      <x:c r="L19" s="63" t="n">
        <x:f>IF($A19="☑ Sí",IF($H19&gt;0,$H19,$F19*$B$4),0)</x:f>
        <x:v>0</x:v>
      </x:c>
      <x:c r="M19" s="63" t="n">
        <x:f>IF($A19="☑ Sí",$G19*$B$4,0)</x:f>
        <x:v>0</x:v>
      </x:c>
      <x:c r="N19" s="60"/>
    </x:row>
    <x:row r="20" ht="58" customHeight="1">
      <x:c r="A20" s="60" t="str">
        <x:v>☐ No</x:v>
      </x:c>
      <x:c r="B20" s="50" t="str">
        <x:v>95(a)</x:v>
      </x:c>
      <x:c r="C20" s="50" t="str">
        <x:v>Delito</x:v>
      </x:c>
      <x:c r="D20" s="50" t="str">
        <x:v>Comerciar, negociar, traficar o trasegar fauna en peligro o con poblaciones reducidas, sus productos o derivados, sin permiso.</x:v>
      </x:c>
      <x:c r="E20" s="67" t="n">
        <x:v>10</x:v>
      </x:c>
      <x:c r="F20" s="68" t="n">
        <x:v>25</x:v>
      </x:c>
      <x:c r="G20" s="67" t="n">
        <x:v>40</x:v>
      </x:c>
      <x:c r="H20" s="62"/>
      <x:c r="I20" s="50" t="str">
        <x:v>Multa o prisión de 1 a 3 años; comiso.</x:v>
      </x:c>
      <x:c r="J20" s="50" t="str">
        <x:v>Ley 7317, texto consolidado PGR</x:v>
      </x:c>
      <x:c r="K20" s="63" t="n">
        <x:f>IF($A20="☑ Sí",$E20*$B$4,0)</x:f>
        <x:v>0</x:v>
      </x:c>
      <x:c r="L20" s="63" t="n">
        <x:f>IF($A20="☑ Sí",IF($H20&gt;0,$H20,$F20*$B$4),0)</x:f>
        <x:v>0</x:v>
      </x:c>
      <x:c r="M20" s="63" t="n">
        <x:f>IF($A20="☑ Sí",$G20*$B$4,0)</x:f>
        <x:v>0</x:v>
      </x:c>
      <x:c r="N20" s="60"/>
    </x:row>
    <x:row r="21" ht="58" customHeight="1">
      <x:c r="A21" s="60" t="str">
        <x:v>☐ No</x:v>
      </x:c>
      <x:c r="B21" s="50" t="str">
        <x:v>95(b)</x:v>
      </x:c>
      <x:c r="C21" s="50" t="str">
        <x:v>Delito</x:v>
      </x:c>
      <x:c r="D21" s="50" t="str">
        <x:v>Comerciar, negociar, traficar o trasegar fauna no amenazada, sus productos o derivados, sin permiso.</x:v>
      </x:c>
      <x:c r="E21" s="67" t="n">
        <x:v>1</x:v>
      </x:c>
      <x:c r="F21" s="68" t="n">
        <x:v>3</x:v>
      </x:c>
      <x:c r="G21" s="67" t="n">
        <x:v>5</x:v>
      </x:c>
      <x:c r="H21" s="62"/>
      <x:c r="I21" s="50" t="str">
        <x:v>Multa o prisión de 4 a 6 meses; comiso.</x:v>
      </x:c>
      <x:c r="J21" s="50" t="str">
        <x:v>Ley 7317, texto consolidado PGR</x:v>
      </x:c>
      <x:c r="K21" s="63" t="n">
        <x:f>IF($A21="☑ Sí",$E21*$B$4,0)</x:f>
        <x:v>0</x:v>
      </x:c>
      <x:c r="L21" s="63" t="n">
        <x:f>IF($A21="☑ Sí",IF($H21&gt;0,$H21,$F21*$B$4),0)</x:f>
        <x:v>0</x:v>
      </x:c>
      <x:c r="M21" s="63" t="n">
        <x:f>IF($A21="☑ Sí",$G21*$B$4,0)</x:f>
        <x:v>0</x:v>
      </x:c>
      <x:c r="N21" s="60"/>
    </x:row>
    <x:row r="22" ht="58" customHeight="1">
      <x:c r="A22" s="60" t="str">
        <x:v>☐ No</x:v>
      </x:c>
      <x:c r="B22" s="50" t="str">
        <x:v>96(a)</x:v>
      </x:c>
      <x:c r="C22" s="50" t="str">
        <x:v>Delito</x:v>
      </x:c>
      <x:c r="D22" s="50" t="str">
        <x:v>Importar o exportar fauna en peligro, con poblaciones reducidas o incluida en CITES, sus productos o derivados, sin permiso.</x:v>
      </x:c>
      <x:c r="E22" s="67" t="n">
        <x:v>10</x:v>
      </x:c>
      <x:c r="F22" s="68" t="n">
        <x:v>25</x:v>
      </x:c>
      <x:c r="G22" s="67" t="n">
        <x:v>40</x:v>
      </x:c>
      <x:c r="H22" s="62"/>
      <x:c r="I22" s="50" t="str">
        <x:v>Multa o prisión de 1 a 3 años; comiso.</x:v>
      </x:c>
      <x:c r="J22" s="50" t="str">
        <x:v>Ley 7317, texto consolidado PGR</x:v>
      </x:c>
      <x:c r="K22" s="63" t="n">
        <x:f>IF($A22="☑ Sí",$E22*$B$4,0)</x:f>
        <x:v>0</x:v>
      </x:c>
      <x:c r="L22" s="63" t="n">
        <x:f>IF($A22="☑ Sí",IF($H22&gt;0,$H22,$F22*$B$4),0)</x:f>
        <x:v>0</x:v>
      </x:c>
      <x:c r="M22" s="63" t="n">
        <x:f>IF($A22="☑ Sí",$G22*$B$4,0)</x:f>
        <x:v>0</x:v>
      </x:c>
      <x:c r="N22" s="60"/>
    </x:row>
    <x:row r="23" ht="58" customHeight="1">
      <x:c r="A23" s="60" t="str">
        <x:v>☐ No</x:v>
      </x:c>
      <x:c r="B23" s="50" t="str">
        <x:v>96(b)</x:v>
      </x:c>
      <x:c r="C23" s="50" t="str">
        <x:v>Delito</x:v>
      </x:c>
      <x:c r="D23" s="50" t="str">
        <x:v>Importar o exportar fauna no amenazada, sus productos o derivados, sin permiso.</x:v>
      </x:c>
      <x:c r="E23" s="67" t="n">
        <x:v>1</x:v>
      </x:c>
      <x:c r="F23" s="68" t="n">
        <x:v>3</x:v>
      </x:c>
      <x:c r="G23" s="67" t="n">
        <x:v>5</x:v>
      </x:c>
      <x:c r="H23" s="62"/>
      <x:c r="I23" s="50" t="str">
        <x:v>Multa o prisión de 4 a 8 meses; comiso.</x:v>
      </x:c>
      <x:c r="J23" s="50" t="str">
        <x:v>Ley 7317, texto consolidado PGR</x:v>
      </x:c>
      <x:c r="K23" s="63" t="n">
        <x:f>IF($A23="☑ Sí",$E23*$B$4,0)</x:f>
        <x:v>0</x:v>
      </x:c>
      <x:c r="L23" s="63" t="n">
        <x:f>IF($A23="☑ Sí",IF($H23&gt;0,$H23,$F23*$B$4),0)</x:f>
        <x:v>0</x:v>
      </x:c>
      <x:c r="M23" s="63" t="n">
        <x:f>IF($A23="☑ Sí",$G23*$B$4,0)</x:f>
        <x:v>0</x:v>
      </x:c>
      <x:c r="N23" s="60"/>
    </x:row>
    <x:row r="24" ht="58" customHeight="1">
      <x:c r="A24" s="60" t="str">
        <x:v>☐ No</x:v>
      </x:c>
      <x:c r="B24" s="50" t="str">
        <x:v>97, párr. 1</x:v>
      </x:c>
      <x:c r="C24" s="50" t="str">
        <x:v>Delito</x:v>
      </x:c>
      <x:c r="D24" s="50" t="str">
        <x:v>Pescar en aguas continentales con explosivos, arbaletas, atarrayas, chinchorros, líneas múltiples, trasmallo u otro método que ponga en peligro la continuidad de las especies.</x:v>
      </x:c>
      <x:c r="E24" s="67" t="n">
        <x:v>5</x:v>
      </x:c>
      <x:c r="F24" s="68" t="n">
        <x:v>7.5</x:v>
      </x:c>
      <x:c r="G24" s="67" t="n">
        <x:v>10</x:v>
      </x:c>
      <x:c r="H24" s="62"/>
      <x:c r="I24" s="50" t="str">
        <x:v>Multa o prisión de 2 a 8 meses; comiso del equipo o material.</x:v>
      </x:c>
      <x:c r="J24" s="50" t="str">
        <x:v>Ley 7317, texto consolidado PGR</x:v>
      </x:c>
      <x:c r="K24" s="63" t="n">
        <x:f>IF($A24="☑ Sí",$E24*$B$4,0)</x:f>
        <x:v>0</x:v>
      </x:c>
      <x:c r="L24" s="63" t="n">
        <x:f>IF($A24="☑ Sí",IF($H24&gt;0,$H24,$F24*$B$4),0)</x:f>
        <x:v>0</x:v>
      </x:c>
      <x:c r="M24" s="63" t="n">
        <x:f>IF($A24="☑ Sí",$G24*$B$4,0)</x:f>
        <x:v>0</x:v>
      </x:c>
      <x:c r="N24" s="60"/>
    </x:row>
    <x:row r="25" ht="58" customHeight="1">
      <x:c r="A25" s="60" t="str">
        <x:v>☐ No</x:v>
      </x:c>
      <x:c r="B25" s="50" t="str">
        <x:v>97, párr. 2</x:v>
      </x:c>
      <x:c r="C25" s="50" t="str">
        <x:v>Delito</x:v>
      </x:c>
      <x:c r="D25" s="50" t="str">
        <x:v>Pescar en aguas continentales con venenos, cal o plaguicidas.</x:v>
      </x:c>
      <x:c r="E25" s="67" t="n">
        <x:v>10</x:v>
      </x:c>
      <x:c r="F25" s="68" t="n">
        <x:v>20</x:v>
      </x:c>
      <x:c r="G25" s="67" t="n">
        <x:v>30</x:v>
      </x:c>
      <x:c r="H25" s="62"/>
      <x:c r="I25" s="50" t="str">
        <x:v>Multa o prisión de 1 a 2 años; comiso; salvo delito más grave.</x:v>
      </x:c>
      <x:c r="J25" s="50" t="str">
        <x:v>Ley 7317, texto consolidado PGR</x:v>
      </x:c>
      <x:c r="K25" s="63" t="n">
        <x:f>IF($A25="☑ Sí",$E25*$B$4,0)</x:f>
        <x:v>0</x:v>
      </x:c>
      <x:c r="L25" s="63" t="n">
        <x:f>IF($A25="☑ Sí",IF($H25&gt;0,$H25,$F25*$B$4),0)</x:f>
        <x:v>0</x:v>
      </x:c>
      <x:c r="M25" s="63" t="n">
        <x:f>IF($A25="☑ Sí",$G25*$B$4,0)</x:f>
        <x:v>0</x:v>
      </x:c>
      <x:c r="N25" s="60"/>
    </x:row>
    <x:row r="26" ht="58" customHeight="1">
      <x:c r="A26" s="60" t="str">
        <x:v>☐ No</x:v>
      </x:c>
      <x:c r="B26" s="50" t="str">
        <x:v>97, párr. final</x:v>
      </x:c>
      <x:c r="C26" s="50" t="str">
        <x:v>Delito</x:v>
      </x:c>
      <x:c r="D26" s="50" t="str">
        <x:v>Dañar poblaciones objetivo de pesca, especies capturadas incidentalmente o ecosistemas de los que dependen.</x:v>
      </x:c>
      <x:c r="E26" s="67" t="n">
        <x:v>10</x:v>
      </x:c>
      <x:c r="F26" s="68" t="n">
        <x:v>20</x:v>
      </x:c>
      <x:c r="G26" s="67" t="n">
        <x:v>30</x:v>
      </x:c>
      <x:c r="H26" s="62"/>
      <x:c r="I26" s="50" t="str">
        <x:v>La norma remite a igual pena del párrafo anterior; confirmar la calificación jurídica del caso.</x:v>
      </x:c>
      <x:c r="J26" s="50" t="str">
        <x:v>Ley 7317, texto consolidado PGR</x:v>
      </x:c>
      <x:c r="K26" s="63" t="n">
        <x:f>IF($A26="☑ Sí",$E26*$B$4,0)</x:f>
        <x:v>0</x:v>
      </x:c>
      <x:c r="L26" s="63" t="n">
        <x:f>IF($A26="☑ Sí",IF($H26&gt;0,$H26,$F26*$B$4),0)</x:f>
        <x:v>0</x:v>
      </x:c>
      <x:c r="M26" s="63" t="n">
        <x:f>IF($A26="☑ Sí",$G26*$B$4,0)</x:f>
        <x:v>0</x:v>
      </x:c>
      <x:c r="N26" s="60"/>
    </x:row>
    <x:row r="27" ht="58" customHeight="1">
      <x:c r="A27" s="60" t="str">
        <x:v>☐ No</x:v>
      </x:c>
      <x:c r="B27" s="50" t="str">
        <x:v>99</x:v>
      </x:c>
      <x:c r="C27" s="50" t="str">
        <x:v>Delito</x:v>
      </x:c>
      <x:c r="D27" s="50" t="str">
        <x:v>Introducir o liberar sin autorización especies exóticas o materiales de control biológico que pongan en peligro la conservación de flora o fauna.</x:v>
      </x:c>
      <x:c r="E27" s="67" t="n">
        <x:v>10</x:v>
      </x:c>
      <x:c r="F27" s="68" t="n">
        <x:v>20</x:v>
      </x:c>
      <x:c r="G27" s="67" t="n">
        <x:v>30</x:v>
      </x:c>
      <x:c r="H27" s="62"/>
      <x:c r="I27" s="50" t="str">
        <x:v>Multa o prisión de 1 a 2 años; pérdida del equipo o material; salvo delito más grave.</x:v>
      </x:c>
      <x:c r="J27" s="50" t="str">
        <x:v>Ley 7317, texto consolidado PGR</x:v>
      </x:c>
      <x:c r="K27" s="63" t="n">
        <x:f>IF($A27="☑ Sí",$E27*$B$4,0)</x:f>
        <x:v>0</x:v>
      </x:c>
      <x:c r="L27" s="63" t="n">
        <x:f>IF($A27="☑ Sí",IF($H27&gt;0,$H27,$F27*$B$4),0)</x:f>
        <x:v>0</x:v>
      </x:c>
      <x:c r="M27" s="63" t="n">
        <x:f>IF($A27="☑ Sí",$G27*$B$4,0)</x:f>
        <x:v>0</x:v>
      </x:c>
      <x:c r="N27" s="60"/>
    </x:row>
    <x:row r="28" ht="58" customHeight="1">
      <x:c r="A28" s="60" t="str">
        <x:v>☐ No</x:v>
      </x:c>
      <x:c r="B28" s="50" t="str">
        <x:v>102</x:v>
      </x:c>
      <x:c r="C28" s="50" t="str">
        <x:v>Contravención</x:v>
      </x:c>
      <x:c r="D28" s="50" t="str">
        <x:v>Extraer sin autorización plantas o productos, sin fin comercial, en áreas oficiales de protección o áreas privadas autorizadas.</x:v>
      </x:c>
      <x:c r="E28" s="67" t="n">
        <x:v>0.25</x:v>
      </x:c>
      <x:c r="F28" s="68" t="n">
        <x:v>0.375</x:v>
      </x:c>
      <x:c r="G28" s="67" t="n">
        <x:v>0.5</x:v>
      </x:c>
      <x:c r="H28" s="62"/>
      <x:c r="I28" s="50" t="str">
        <x:v>Multa y comiso de las piezas.</x:v>
      </x:c>
      <x:c r="J28" s="50" t="str">
        <x:v>Ley 7317, texto consolidado PGR</x:v>
      </x:c>
      <x:c r="K28" s="63" t="n">
        <x:f>IF($A28="☑ Sí",$E28*$B$4,0)</x:f>
        <x:v>0</x:v>
      </x:c>
      <x:c r="L28" s="63" t="n">
        <x:f>IF($A28="☑ Sí",IF($H28&gt;0,$H28,$F28*$B$4),0)</x:f>
        <x:v>0</x:v>
      </x:c>
      <x:c r="M28" s="63" t="n">
        <x:f>IF($A28="☑ Sí",$G28*$B$4,0)</x:f>
        <x:v>0</x:v>
      </x:c>
      <x:c r="N28" s="60"/>
    </x:row>
    <x:row r="29" ht="58" customHeight="1">
      <x:c r="A29" s="60" t="str">
        <x:v>☐ No</x:v>
      </x:c>
      <x:c r="B29" s="50" t="str">
        <x:v>103</x:v>
      </x:c>
      <x:c r="C29" s="50" t="str">
        <x:v>Contravención</x:v>
      </x:c>
      <x:c r="D29" s="50" t="str">
        <x:v>Extraer o comerciar sin autorización raíces o tallos de helechos arborescentes.</x:v>
      </x:c>
      <x:c r="E29" s="67" t="n">
        <x:v>0.5</x:v>
      </x:c>
      <x:c r="F29" s="68" t="n">
        <x:v>0.75</x:v>
      </x:c>
      <x:c r="G29" s="67" t="n">
        <x:v>1</x:v>
      </x:c>
      <x:c r="H29" s="62"/>
      <x:c r="I29" s="50" t="str">
        <x:v>Multa.</x:v>
      </x:c>
      <x:c r="J29" s="50" t="str">
        <x:v>Ley 7317, texto consolidado PGR</x:v>
      </x:c>
      <x:c r="K29" s="63" t="n">
        <x:f>IF($A29="☑ Sí",$E29*$B$4,0)</x:f>
        <x:v>0</x:v>
      </x:c>
      <x:c r="L29" s="63" t="n">
        <x:f>IF($A29="☑ Sí",IF($H29&gt;0,$H29,$F29*$B$4),0)</x:f>
        <x:v>0</x:v>
      </x:c>
      <x:c r="M29" s="63" t="n">
        <x:f>IF($A29="☑ Sí",$G29*$B$4,0)</x:f>
        <x:v>0</x:v>
      </x:c>
      <x:c r="N29" s="60"/>
    </x:row>
    <x:row r="30" ht="58" customHeight="1">
      <x:c r="A30" s="60" t="str">
        <x:v>☐ No</x:v>
      </x:c>
      <x:c r="B30" s="50" t="str">
        <x:v>104</x:v>
      </x:c>
      <x:c r="C30" s="50" t="str">
        <x:v>Contravención</x:v>
      </x:c>
      <x:c r="D30" s="50" t="str">
        <x:v>Extraer o comerciar flora silvestre sin autorización, cuando no exista infracción de mayor gravedad.</x:v>
      </x:c>
      <x:c r="E30" s="67" t="n">
        <x:v>0.15</x:v>
      </x:c>
      <x:c r="F30" s="68" t="n">
        <x:v>0.225</x:v>
      </x:c>
      <x:c r="G30" s="67" t="n">
        <x:v>0.3</x:v>
      </x:c>
      <x:c r="H30" s="62"/>
      <x:c r="I30" s="50" t="str">
        <x:v>Multa y comiso de las piezas.</x:v>
      </x:c>
      <x:c r="J30" s="50" t="str">
        <x:v>Ley 7317, texto consolidado PGR</x:v>
      </x:c>
      <x:c r="K30" s="63" t="n">
        <x:f>IF($A30="☑ Sí",$E30*$B$4,0)</x:f>
        <x:v>0</x:v>
      </x:c>
      <x:c r="L30" s="63" t="n">
        <x:f>IF($A30="☑ Sí",IF($H30&gt;0,$H30,$F30*$B$4),0)</x:f>
        <x:v>0</x:v>
      </x:c>
      <x:c r="M30" s="63" t="n">
        <x:f>IF($A30="☑ Sí",$G30*$B$4,0)</x:f>
        <x:v>0</x:v>
      </x:c>
      <x:c r="N30" s="60"/>
    </x:row>
    <x:row r="31" ht="58" customHeight="1">
      <x:c r="A31" s="60" t="str">
        <x:v>☐ No</x:v>
      </x:c>
      <x:c r="B31" s="50" t="str">
        <x:v>105</x:v>
      </x:c>
      <x:c r="C31" s="50" t="str">
        <x:v>Contravención</x:v>
      </x:c>
      <x:c r="D31" s="50" t="str">
        <x:v>Importar flora silvestre exótica sin autorización.</x:v>
      </x:c>
      <x:c r="E31" s="67" t="n">
        <x:v>0.25</x:v>
      </x:c>
      <x:c r="F31" s="68" t="n">
        <x:v>0.375</x:v>
      </x:c>
      <x:c r="G31" s="67" t="n">
        <x:v>0.5</x:v>
      </x:c>
      <x:c r="H31" s="62"/>
      <x:c r="I31" s="50" t="str">
        <x:v>Multa y comiso de las piezas.</x:v>
      </x:c>
      <x:c r="J31" s="50" t="str">
        <x:v>Ley 7317, texto consolidado PGR</x:v>
      </x:c>
      <x:c r="K31" s="63" t="n">
        <x:f>IF($A31="☑ Sí",$E31*$B$4,0)</x:f>
        <x:v>0</x:v>
      </x:c>
      <x:c r="L31" s="63" t="n">
        <x:f>IF($A31="☑ Sí",IF($H31&gt;0,$H31,$F31*$B$4),0)</x:f>
        <x:v>0</x:v>
      </x:c>
      <x:c r="M31" s="63" t="n">
        <x:f>IF($A31="☑ Sí",$G31*$B$4,0)</x:f>
        <x:v>0</x:v>
      </x:c>
      <x:c r="N31" s="60"/>
    </x:row>
    <x:row r="32" ht="58" customHeight="1">
      <x:c r="A32" s="60" t="str">
        <x:v>☐ No</x:v>
      </x:c>
      <x:c r="B32" s="50" t="str">
        <x:v>106</x:v>
      </x:c>
      <x:c r="C32" s="50" t="str">
        <x:v>Contravención</x:v>
      </x:c>
      <x:c r="D32" s="50" t="str">
        <x:v>Ingresar sin autorización a áreas de conservación portando armas, herramientas o utensilios útiles para caza, pesca, tala, extracción, captura o trasiego, cuando no haya infracción más grave.</x:v>
      </x:c>
      <x:c r="E32" s="67" t="n">
        <x:v>1</x:v>
      </x:c>
      <x:c r="F32" s="68" t="n">
        <x:v>2</x:v>
      </x:c>
      <x:c r="G32" s="67" t="n">
        <x:v>3</x:v>
      </x:c>
      <x:c r="H32" s="62"/>
      <x:c r="I32" s="50" t="str">
        <x:v>Multa.</x:v>
      </x:c>
      <x:c r="J32" s="50" t="str">
        <x:v>Ley 7317, texto consolidado PGR</x:v>
      </x:c>
      <x:c r="K32" s="63" t="n">
        <x:f>IF($A32="☑ Sí",$E32*$B$4,0)</x:f>
        <x:v>0</x:v>
      </x:c>
      <x:c r="L32" s="63" t="n">
        <x:f>IF($A32="☑ Sí",IF($H32&gt;0,$H32,$F32*$B$4),0)</x:f>
        <x:v>0</x:v>
      </x:c>
      <x:c r="M32" s="63" t="n">
        <x:f>IF($A32="☑ Sí",$G32*$B$4,0)</x:f>
        <x:v>0</x:v>
      </x:c>
      <x:c r="N32" s="60"/>
    </x:row>
    <x:row r="33" ht="58" customHeight="1">
      <x:c r="A33" s="60" t="str">
        <x:v>☐ No</x:v>
      </x:c>
      <x:c r="B33" s="50" t="str">
        <x:v>107</x:v>
      </x:c>
      <x:c r="C33" s="50" t="str">
        <x:v>Contravención</x:v>
      </x:c>
      <x:c r="D33" s="50" t="str">
        <x:v>Cazar fauna silvestre sin la licencia correspondiente.</x:v>
      </x:c>
      <x:c r="E33" s="67" t="n">
        <x:v>0.5</x:v>
      </x:c>
      <x:c r="F33" s="68" t="n">
        <x:v>1.25</x:v>
      </x:c>
      <x:c r="G33" s="67" t="n">
        <x:v>2</x:v>
      </x:c>
      <x:c r="H33" s="62"/>
      <x:c r="I33" s="50" t="str">
        <x:v>Multa; pérdida de armas y comiso de piezas.</x:v>
      </x:c>
      <x:c r="J33" s="50" t="str">
        <x:v>Ley 7317, texto consolidado PGR</x:v>
      </x:c>
      <x:c r="K33" s="63" t="n">
        <x:f>IF($A33="☑ Sí",$E33*$B$4,0)</x:f>
        <x:v>0</x:v>
      </x:c>
      <x:c r="L33" s="63" t="n">
        <x:f>IF($A33="☑ Sí",IF($H33&gt;0,$H33,$F33*$B$4),0)</x:f>
        <x:v>0</x:v>
      </x:c>
      <x:c r="M33" s="63" t="n">
        <x:f>IF($A33="☑ Sí",$G33*$B$4,0)</x:f>
        <x:v>0</x:v>
      </x:c>
      <x:c r="N33" s="60"/>
    </x:row>
    <x:row r="34" ht="58" customHeight="1">
      <x:c r="A34" s="60" t="str">
        <x:v>☐ No</x:v>
      </x:c>
      <x:c r="B34" s="50" t="str">
        <x:v>108, párr. 1</x:v>
      </x:c>
      <x:c r="C34" s="50" t="str">
        <x:v>Contravención</x:v>
      </x:c>
      <x:c r="D34" s="50" t="str">
        <x:v>Cazar especies permitidas con armas o proyectiles inadecuados.</x:v>
      </x:c>
      <x:c r="E34" s="67" t="n">
        <x:v>0.5</x:v>
      </x:c>
      <x:c r="F34" s="68" t="n">
        <x:v>0.75</x:v>
      </x:c>
      <x:c r="G34" s="67" t="n">
        <x:v>1</x:v>
      </x:c>
      <x:c r="H34" s="62"/>
      <x:c r="I34" s="50" t="str">
        <x:v>Multa; comiso de armas y piezas.</x:v>
      </x:c>
      <x:c r="J34" s="50" t="str">
        <x:v>Ley 7317, texto consolidado PGR</x:v>
      </x:c>
      <x:c r="K34" s="63" t="n">
        <x:f>IF($A34="☑ Sí",$E34*$B$4,0)</x:f>
        <x:v>0</x:v>
      </x:c>
      <x:c r="L34" s="63" t="n">
        <x:f>IF($A34="☑ Sí",IF($H34&gt;0,$H34,$F34*$B$4),0)</x:f>
        <x:v>0</x:v>
      </x:c>
      <x:c r="M34" s="63" t="n">
        <x:f>IF($A34="☑ Sí",$G34*$B$4,0)</x:f>
        <x:v>0</x:v>
      </x:c>
      <x:c r="N34" s="60"/>
    </x:row>
    <x:row r="35" ht="58" customHeight="1">
      <x:c r="A35" s="60" t="str">
        <x:v>☐ No</x:v>
      </x:c>
      <x:c r="B35" s="50" t="str">
        <x:v>108, párr. 2</x:v>
      </x:c>
      <x:c r="C35" s="50" t="str">
        <x:v>Contravención</x:v>
      </x:c>
      <x:c r="D35" s="50" t="str">
        <x:v>No reportar ante SINAC las piezas cazadas, pese a contar con autorización para cazar.</x:v>
      </x:c>
      <x:c r="E35" s="67" t="n">
        <x:v>0.5</x:v>
      </x:c>
      <x:c r="F35" s="68" t="n">
        <x:v>0.75</x:v>
      </x:c>
      <x:c r="G35" s="67" t="n">
        <x:v>1</x:v>
      </x:c>
      <x:c r="H35" s="62"/>
      <x:c r="I35" s="50" t="str">
        <x:v>Igual pena del párrafo anterior.</x:v>
      </x:c>
      <x:c r="J35" s="50" t="str">
        <x:v>Ley 7317, texto consolidado PGR</x:v>
      </x:c>
      <x:c r="K35" s="63" t="n">
        <x:f>IF($A35="☑ Sí",$E35*$B$4,0)</x:f>
        <x:v>0</x:v>
      </x:c>
      <x:c r="L35" s="63" t="n">
        <x:f>IF($A35="☑ Sí",IF($H35&gt;0,$H35,$F35*$B$4),0)</x:f>
        <x:v>0</x:v>
      </x:c>
      <x:c r="M35" s="63" t="n">
        <x:f>IF($A35="☑ Sí",$G35*$B$4,0)</x:f>
        <x:v>0</x:v>
      </x:c>
      <x:c r="N35" s="60"/>
    </x:row>
    <x:row r="36" ht="58" customHeight="1">
      <x:c r="A36" s="60" t="str">
        <x:v>☐ No</x:v>
      </x:c>
      <x:c r="B36" s="50" t="str">
        <x:v>109, párr. 1</x:v>
      </x:c>
      <x:c r="C36" s="50" t="str">
        <x:v>Contravención</x:v>
      </x:c>
      <x:c r="D36" s="50" t="str">
        <x:v>Exceder los límites reglamentarios de un permiso de caza de control o pesca respecto de piezas, tamaños, especies o zonas.</x:v>
      </x:c>
      <x:c r="E36" s="67" t="n">
        <x:v>0.5</x:v>
      </x:c>
      <x:c r="F36" s="68" t="n">
        <x:v>1.75</x:v>
      </x:c>
      <x:c r="G36" s="67" t="n">
        <x:v>3</x:v>
      </x:c>
      <x:c r="H36" s="62"/>
      <x:c r="I36" s="50" t="str">
        <x:v>Multa; comiso de piezas o derivados y pérdida del equipo o material.</x:v>
      </x:c>
      <x:c r="J36" s="50" t="str">
        <x:v>Ley 7317, texto consolidado PGR</x:v>
      </x:c>
      <x:c r="K36" s="63" t="n">
        <x:f>IF($A36="☑ Sí",$E36*$B$4,0)</x:f>
        <x:v>0</x:v>
      </x:c>
      <x:c r="L36" s="63" t="n">
        <x:f>IF($A36="☑ Sí",IF($H36&gt;0,$H36,$F36*$B$4),0)</x:f>
        <x:v>0</x:v>
      </x:c>
      <x:c r="M36" s="63" t="n">
        <x:f>IF($A36="☑ Sí",$G36*$B$4,0)</x:f>
        <x:v>0</x:v>
      </x:c>
      <x:c r="N36" s="60"/>
    </x:row>
    <x:row r="37" ht="58" customHeight="1">
      <x:c r="A37" s="60" t="str">
        <x:v>☐ No</x:v>
      </x:c>
      <x:c r="B37" s="50" t="str">
        <x:v>109, párr. 2</x:v>
      </x:c>
      <x:c r="C37" s="50" t="str">
        <x:v>Contravención</x:v>
      </x:c>
      <x:c r="D37" s="50" t="str">
        <x:v>Usar para fines distintos las piezas obtenidas con permisos de caza de subsistencia o control, o de colecta científica.</x:v>
      </x:c>
      <x:c r="E37" s="67" t="n">
        <x:v>0.5</x:v>
      </x:c>
      <x:c r="F37" s="68" t="n">
        <x:v>1.75</x:v>
      </x:c>
      <x:c r="G37" s="67" t="n">
        <x:v>3</x:v>
      </x:c>
      <x:c r="H37" s="62"/>
      <x:c r="I37" s="50" t="str">
        <x:v>Igual pena del párrafo anterior.</x:v>
      </x:c>
      <x:c r="J37" s="50" t="str">
        <x:v>Ley 7317, texto consolidado PGR</x:v>
      </x:c>
      <x:c r="K37" s="63" t="n">
        <x:f>IF($A37="☑ Sí",$E37*$B$4,0)</x:f>
        <x:v>0</x:v>
      </x:c>
      <x:c r="L37" s="63" t="n">
        <x:f>IF($A37="☑ Sí",IF($H37&gt;0,$H37,$F37*$B$4),0)</x:f>
        <x:v>0</x:v>
      </x:c>
      <x:c r="M37" s="63" t="n">
        <x:f>IF($A37="☑ Sí",$G37*$B$4,0)</x:f>
        <x:v>0</x:v>
      </x:c>
      <x:c r="N37" s="60"/>
    </x:row>
    <x:row r="38" ht="58" customHeight="1">
      <x:c r="A38" s="60" t="str">
        <x:v>☐ No</x:v>
      </x:c>
      <x:c r="B38" s="50" t="str">
        <x:v>110, supuesto 1</x:v>
      </x:c>
      <x:c r="C38" s="50" t="str">
        <x:v>Contravención</x:v>
      </x:c>
      <x:c r="D38" s="50" t="str">
        <x:v>Mantener en cautiverio o como mascota, sin autorización, fauna en peligro de extinción o con poblaciones reducidas.</x:v>
      </x:c>
      <x:c r="E38" s="67" t="n">
        <x:v>2</x:v>
      </x:c>
      <x:c r="F38" s="68" t="n">
        <x:v>3</x:v>
      </x:c>
      <x:c r="G38" s="67" t="n">
        <x:v>4</x:v>
      </x:c>
      <x:c r="H38" s="62"/>
      <x:c r="I38" s="50" t="str">
        <x:v>Multa y comiso de los animales.</x:v>
      </x:c>
      <x:c r="J38" s="50" t="str">
        <x:v>Ley 7317, texto consolidado PGR</x:v>
      </x:c>
      <x:c r="K38" s="63" t="n">
        <x:f>IF($A38="☑ Sí",$E38*$B$4,0)</x:f>
        <x:v>0</x:v>
      </x:c>
      <x:c r="L38" s="63" t="n">
        <x:f>IF($A38="☑ Sí",IF($H38&gt;0,$H38,$F38*$B$4),0)</x:f>
        <x:v>0</x:v>
      </x:c>
      <x:c r="M38" s="63" t="n">
        <x:f>IF($A38="☑ Sí",$G38*$B$4,0)</x:f>
        <x:v>0</x:v>
      </x:c>
      <x:c r="N38" s="60"/>
    </x:row>
    <x:row r="39" ht="58" customHeight="1">
      <x:c r="A39" s="60" t="str">
        <x:v>☐ No</x:v>
      </x:c>
      <x:c r="B39" s="50" t="str">
        <x:v>110, supuesto 2</x:v>
      </x:c>
      <x:c r="C39" s="50" t="str">
        <x:v>Contravención</x:v>
      </x:c>
      <x:c r="D39" s="50" t="str">
        <x:v>Mantener en cautiverio o como mascota, sin autorización, fauna no amenazada ni con poblaciones reducidas.</x:v>
      </x:c>
      <x:c r="E39" s="67" t="n">
        <x:v>0.5</x:v>
      </x:c>
      <x:c r="F39" s="68" t="n">
        <x:v>1.25</x:v>
      </x:c>
      <x:c r="G39" s="67" t="n">
        <x:v>2</x:v>
      </x:c>
      <x:c r="H39" s="62"/>
      <x:c r="I39" s="50" t="str">
        <x:v>Multa y comiso de los animales.</x:v>
      </x:c>
      <x:c r="J39" s="50" t="str">
        <x:v>Ley 7317, texto consolidado PGR</x:v>
      </x:c>
      <x:c r="K39" s="63" t="n">
        <x:f>IF($A39="☑ Sí",$E39*$B$4,0)</x:f>
        <x:v>0</x:v>
      </x:c>
      <x:c r="L39" s="63" t="n">
        <x:f>IF($A39="☑ Sí",IF($H39&gt;0,$H39,$F39*$B$4),0)</x:f>
        <x:v>0</x:v>
      </x:c>
      <x:c r="M39" s="63" t="n">
        <x:f>IF($A39="☑ Sí",$G39*$B$4,0)</x:f>
        <x:v>0</x:v>
      </x:c>
      <x:c r="N39" s="60"/>
    </x:row>
    <x:row r="40" ht="58" customHeight="1">
      <x:c r="A40" s="60" t="str">
        <x:v>☐ No</x:v>
      </x:c>
      <x:c r="B40" s="50" t="str">
        <x:v>111, párr. 1</x:v>
      </x:c>
      <x:c r="C40" s="50" t="str">
        <x:v>Contravención</x:v>
      </x:c>
      <x:c r="D40" s="50" t="str">
        <x:v>Dedicarse comercialmente a la taxidermia o al procesamiento de pieles de fauna silvestre sin autorización.</x:v>
      </x:c>
      <x:c r="E40" s="67" t="n">
        <x:v>0.25</x:v>
      </x:c>
      <x:c r="F40" s="68" t="n">
        <x:v>0.375</x:v>
      </x:c>
      <x:c r="G40" s="67" t="n">
        <x:v>0.5</x:v>
      </x:c>
      <x:c r="H40" s="62"/>
      <x:c r="I40" s="50" t="str">
        <x:v>Multa.</x:v>
      </x:c>
      <x:c r="J40" s="50" t="str">
        <x:v>Ley 7317, texto consolidado PGR</x:v>
      </x:c>
      <x:c r="K40" s="63" t="n">
        <x:f>IF($A40="☑ Sí",$E40*$B$4,0)</x:f>
        <x:v>0</x:v>
      </x:c>
      <x:c r="L40" s="63" t="n">
        <x:f>IF($A40="☑ Sí",IF($H40&gt;0,$H40,$F40*$B$4),0)</x:f>
        <x:v>0</x:v>
      </x:c>
      <x:c r="M40" s="63" t="n">
        <x:f>IF($A40="☑ Sí",$G40*$B$4,0)</x:f>
        <x:v>0</x:v>
      </x:c>
      <x:c r="N40" s="60"/>
    </x:row>
    <x:row r="41" ht="58" customHeight="1">
      <x:c r="A41" s="60" t="str">
        <x:v>☐ No</x:v>
      </x:c>
      <x:c r="B41" s="50" t="str">
        <x:v>111, párr. 2</x:v>
      </x:c>
      <x:c r="C41" s="50" t="str">
        <x:v>Contravención</x:v>
      </x:c>
      <x:c r="D41" s="50" t="str">
        <x:v>No llevar el libro de control exigido para taxidermia o procesamiento comercial autorizado.</x:v>
      </x:c>
      <x:c r="E41" s="67" t="n">
        <x:v>0.25</x:v>
      </x:c>
      <x:c r="F41" s="68" t="n">
        <x:v>0.375</x:v>
      </x:c>
      <x:c r="G41" s="67" t="n">
        <x:v>0.5</x:v>
      </x:c>
      <x:c r="H41" s="62"/>
      <x:c r="I41" s="50" t="str">
        <x:v>Igual sanción del párrafo anterior.</x:v>
      </x:c>
      <x:c r="J41" s="50" t="str">
        <x:v>Ley 7317, texto consolidado PGR</x:v>
      </x:c>
      <x:c r="K41" s="63" t="n">
        <x:f>IF($A41="☑ Sí",$E41*$B$4,0)</x:f>
        <x:v>0</x:v>
      </x:c>
      <x:c r="L41" s="63" t="n">
        <x:f>IF($A41="☑ Sí",IF($H41&gt;0,$H41,$F41*$B$4),0)</x:f>
        <x:v>0</x:v>
      </x:c>
      <x:c r="M41" s="63" t="n">
        <x:f>IF($A41="☑ Sí",$G41*$B$4,0)</x:f>
        <x:v>0</x:v>
      </x:c>
      <x:c r="N41" s="60"/>
    </x:row>
    <x:row r="42" ht="58" customHeight="1">
      <x:c r="A42" s="60" t="str">
        <x:v>☐ No</x:v>
      </x:c>
      <x:c r="B42" s="50" t="str">
        <x:v>112</x:v>
      </x:c>
      <x:c r="C42" s="50" t="str">
        <x:v>Contravención</x:v>
      </x:c>
      <x:c r="D42" s="50" t="str">
        <x:v>Dejar voluntariamente de buscar las piezas cazadas o pescadas y provocar desperdicio del recurso.</x:v>
      </x:c>
      <x:c r="E42" s="67" t="n">
        <x:v>0.25</x:v>
      </x:c>
      <x:c r="F42" s="68" t="n">
        <x:v>0.375</x:v>
      </x:c>
      <x:c r="G42" s="67" t="n">
        <x:v>0.5</x:v>
      </x:c>
      <x:c r="H42" s="62"/>
      <x:c r="I42" s="50" t="str">
        <x:v>Multa.</x:v>
      </x:c>
      <x:c r="J42" s="50" t="str">
        <x:v>Ley 7317, texto consolidado PGR</x:v>
      </x:c>
      <x:c r="K42" s="63" t="n">
        <x:f>IF($A42="☑ Sí",$E42*$B$4,0)</x:f>
        <x:v>0</x:v>
      </x:c>
      <x:c r="L42" s="63" t="n">
        <x:f>IF($A42="☑ Sí",IF($H42&gt;0,$H42,$F42*$B$4),0)</x:f>
        <x:v>0</x:v>
      </x:c>
      <x:c r="M42" s="63" t="n">
        <x:f>IF($A42="☑ Sí",$G42*$B$4,0)</x:f>
        <x:v>0</x:v>
      </x:c>
      <x:c r="N42" s="60"/>
    </x:row>
    <x:row r="43" ht="58" customHeight="1">
      <x:c r="A43" s="60" t="str">
        <x:v>☐ No</x:v>
      </x:c>
      <x:c r="B43" s="50" t="str">
        <x:v>113</x:v>
      </x:c>
      <x:c r="C43" s="50" t="str">
        <x:v>Contravención</x:v>
      </x:c>
      <x:c r="D43" s="50" t="str">
        <x:v>Pescar sin la licencia correspondiente.</x:v>
      </x:c>
      <x:c r="E43" s="67" t="n">
        <x:v>0.5</x:v>
      </x:c>
      <x:c r="F43" s="68" t="n">
        <x:v>1.25</x:v>
      </x:c>
      <x:c r="G43" s="67" t="n">
        <x:v>2</x:v>
      </x:c>
      <x:c r="H43" s="62"/>
      <x:c r="I43" s="50" t="str">
        <x:v>Multa; pérdida del equipo señalado y comiso de piezas.</x:v>
      </x:c>
      <x:c r="J43" s="50" t="str">
        <x:v>Ley 7317, texto consolidado PGR</x:v>
      </x:c>
      <x:c r="K43" s="63" t="n">
        <x:f>IF($A43="☑ Sí",$E43*$B$4,0)</x:f>
        <x:v>0</x:v>
      </x:c>
      <x:c r="L43" s="63" t="n">
        <x:f>IF($A43="☑ Sí",IF($H43&gt;0,$H43,$F43*$B$4),0)</x:f>
        <x:v>0</x:v>
      </x:c>
      <x:c r="M43" s="63" t="n">
        <x:f>IF($A43="☑ Sí",$G43*$B$4,0)</x:f>
        <x:v>0</x:v>
      </x:c>
      <x:c r="N43" s="60"/>
    </x:row>
    <x:row r="44" ht="58" customHeight="1">
      <x:c r="A44" s="60" t="str">
        <x:v>☐ No</x:v>
      </x:c>
      <x:c r="B44" s="50" t="str">
        <x:v>114</x:v>
      </x:c>
      <x:c r="C44" s="50" t="str">
        <x:v>Contravención</x:v>
      </x:c>
      <x:c r="D44" s="50" t="str">
        <x:v>Exceder límites de pesca respecto de tamaños, cantidades, especies o zonas autorizadas.</x:v>
      </x:c>
      <x:c r="E44" s="67" t="n">
        <x:v>0.15</x:v>
      </x:c>
      <x:c r="F44" s="68" t="n">
        <x:v>0.225</x:v>
      </x:c>
      <x:c r="G44" s="67" t="n">
        <x:v>0.3</x:v>
      </x:c>
      <x:c r="H44" s="62"/>
      <x:c r="I44" s="50" t="str">
        <x:v>Multa.</x:v>
      </x:c>
      <x:c r="J44" s="50" t="str">
        <x:v>Ley 7317, texto consolidado PGR</x:v>
      </x:c>
      <x:c r="K44" s="63" t="n">
        <x:f>IF($A44="☑ Sí",$E44*$B$4,0)</x:f>
        <x:v>0</x:v>
      </x:c>
      <x:c r="L44" s="63" t="n">
        <x:f>IF($A44="☑ Sí",IF($H44&gt;0,$H44,$F44*$B$4),0)</x:f>
        <x:v>0</x:v>
      </x:c>
      <x:c r="M44" s="63" t="n">
        <x:f>IF($A44="☑ Sí",$G44*$B$4,0)</x:f>
        <x:v>0</x:v>
      </x:c>
      <x:c r="N44" s="60"/>
    </x:row>
    <x:row r="45" ht="58" customHeight="1">
      <x:c r="A45" s="60" t="str">
        <x:v>☐ No</x:v>
      </x:c>
      <x:c r="B45" s="50" t="str">
        <x:v>115</x:v>
      </x:c>
      <x:c r="C45" s="50" t="str">
        <x:v>Contravención</x:v>
      </x:c>
      <x:c r="D45" s="50" t="str">
        <x:v>Pescar en tiempo de veda.</x:v>
      </x:c>
      <x:c r="E45" s="67" t="n">
        <x:v>0.5</x:v>
      </x:c>
      <x:c r="F45" s="68" t="n">
        <x:v>0.75</x:v>
      </x:c>
      <x:c r="G45" s="67" t="n">
        <x:v>1</x:v>
      </x:c>
      <x:c r="H45" s="62"/>
      <x:c r="I45" s="50" t="str">
        <x:v>Multa y comiso del equipo y las piezas.</x:v>
      </x:c>
      <x:c r="J45" s="50" t="str">
        <x:v>Ley 7317, texto consolidado PGR</x:v>
      </x:c>
      <x:c r="K45" s="63" t="n">
        <x:f>IF($A45="☑ Sí",$E45*$B$4,0)</x:f>
        <x:v>0</x:v>
      </x:c>
      <x:c r="L45" s="63" t="n">
        <x:f>IF($A45="☑ Sí",IF($H45&gt;0,$H45,$F45*$B$4),0)</x:f>
        <x:v>0</x:v>
      </x:c>
      <x:c r="M45" s="63" t="n">
        <x:f>IF($A45="☑ Sí",$G45*$B$4,0)</x:f>
        <x:v>0</x:v>
      </x:c>
      <x:c r="N45" s="60"/>
    </x:row>
    <x:row r="46" ht="58" customHeight="1">
      <x:c r="A46" s="60" t="str">
        <x:v>☐ No</x:v>
      </x:c>
      <x:c r="B46" s="50" t="str">
        <x:v>116</x:v>
      </x:c>
      <x:c r="C46" s="50" t="str">
        <x:v>Contravención</x:v>
      </x:c>
      <x:c r="D46" s="50" t="str">
        <x:v>Suministrar sin autorización alimentos o sustancias no autorizadas a la fauna silvestre.</x:v>
      </x:c>
      <x:c r="E46" s="67" t="n">
        <x:v>0.15</x:v>
      </x:c>
      <x:c r="F46" s="68" t="n">
        <x:v>0.225</x:v>
      </x:c>
      <x:c r="G46" s="67" t="n">
        <x:v>0.3</x:v>
      </x:c>
      <x:c r="H46" s="62"/>
      <x:c r="I46" s="50" t="str">
        <x:v>Multa.</x:v>
      </x:c>
      <x:c r="J46" s="50" t="str">
        <x:v>Ley 7317, texto consolidado PGR</x:v>
      </x:c>
      <x:c r="K46" s="63" t="n">
        <x:f>IF($A46="☑ Sí",$E46*$B$4,0)</x:f>
        <x:v>0</x:v>
      </x:c>
      <x:c r="L46" s="63" t="n">
        <x:f>IF($A46="☑ Sí",IF($H46&gt;0,$H46,$F46*$B$4),0)</x:f>
        <x:v>0</x:v>
      </x:c>
      <x:c r="M46" s="63" t="n">
        <x:f>IF($A46="☑ Sí",$G46*$B$4,0)</x:f>
        <x:v>0</x:v>
      </x:c>
      <x:c r="N46" s="60"/>
    </x:row>
    <x:row r="47">
      <x:c r="A47" s="55" t="str">
        <x:v>TOTAL MULTAS SELECCIONADAS</x:v>
      </x:c>
      <x:c r="B47" s="55"/>
      <x:c r="C47" s="55"/>
      <x:c r="D47" s="55"/>
      <x:c r="E47" s="55"/>
      <x:c r="F47" s="55"/>
      <x:c r="G47" s="55"/>
      <x:c r="H47" s="55"/>
      <x:c r="I47" s="55"/>
      <x:c r="J47" s="55"/>
      <x:c r="K47" s="64" t="n">
        <x:f>SUM(K12:K46)</x:f>
        <x:v>0</x:v>
      </x:c>
      <x:c r="L47" s="64" t="n">
        <x:f>SUM(L12:L46)</x:f>
        <x:v>0</x:v>
      </x:c>
      <x:c r="M47" s="64" t="n">
        <x:f>SUM(M12:M46)</x:f>
        <x:v>0</x:v>
      </x:c>
      <x:c r="N47" s="55" t="str">
        <x:v>Confirmar selección y cuantía con la revisión jurídica.</x:v>
      </x:c>
    </x:row>
    <x:row r="49">
      <x:c r="A49" s="44" t="str">
        <x:v>Fuentes oficiales</x:v>
      </x:c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</x:row>
    <x:row r="50" ht="34" customHeight="1">
      <x:c r="A50" s="50" t="str">
        <x:v>Ley 7317</x:v>
      </x:c>
      <x:c r="B50" s="50" t="str">
        <x:v>https://pgrweb.go.cr/scij/Busqueda/Normativa/normas/nrm_texto_completo.aspx?nValor1=1&amp;nValor2=12648&amp;nValor3=122136&amp;nValor4=NO&amp;param2=2&amp;strTipM=TC</x:v>
      </x:c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</x:row>
    <x:row r="51" ht="34" customHeight="1">
      <x:c r="A51" s="50" t="str">
        <x:v>Salario base 2026</x:v>
      </x:c>
      <x:c r="B51" s="50" t="str">
        <x:v>https://pj.poder-judicial.go.cr/index.php/component/content/article/2333-poder-judicial-fija-en-462-200-00-el-salario-base-para-multas-y-penas-por-la-comision-de-figuras-delictivas-en-el-2026?Itemid=409&amp;catid=8</x:v>
      </x:c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</x:row>
  </x:sheetData>
  <x:mergeCells>
    <x:mergeCell ref="A1:N1"/>
    <x:mergeCell ref="A2:N2"/>
    <x:mergeCell ref="A10:N10"/>
    <x:mergeCell ref="A47:J47"/>
    <x:mergeCell ref="A49:N49"/>
    <x:mergeCell ref="B50:N50"/>
    <x:mergeCell ref="B51:N51"/>
  </x:mergeCells>
  <x:conditionalFormatting sqref="A12:N46">
    <x:cfRule type="expression" dxfId="0" priority="1">
      <x:formula>$A12="☑ Sí"</x:formula>
    </x:cfRule>
  </x:conditionalFormatting>
  <x:dataValidations count="3">
    <x:dataValidation type="list" sqref="A12:A46">
      <x:formula1>"☐ No,☑ Sí"</x:formula1>
    </x:dataValidation>
    <x:dataValidation type="decimal" operator="greaterThanOrEqual" sqref="F12:F46">
      <x:formula1>0</x:formula1>
    </x:dataValidation>
    <x:dataValidation type="decimal" operator="greaterThanOrEqual" sqref="H12:H46">
      <x:formula1>0</x:formula1>
    </x:dataValidation>
  </x:dataValidations>
  <x:pageMargins left="0.7" right="0.7" top="0.75" bottom="0.75" header="0.3" footer="0.3"/>
</x:worksheet>
</file>