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7a305094e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64002e6fd28049ff"/>
    <x:sheet xmlns:r="http://schemas.openxmlformats.org/officeDocument/2006/relationships" name="CONFIGURACION" sheetId="2" r:id="Rd9880f50435040d6"/>
    <x:sheet xmlns:r="http://schemas.openxmlformats.org/officeDocument/2006/relationships" name="VALORES_ESVD" sheetId="3" r:id="R786fcbc300354860"/>
    <x:sheet xmlns:r="http://schemas.openxmlformats.org/officeDocument/2006/relationships" name="CUENTAS_COSTO" sheetId="4" r:id="R99ab2712daf04b28"/>
    <x:sheet xmlns:r="http://schemas.openxmlformats.org/officeDocument/2006/relationships" name="CATALOGOS" sheetId="5" r:id="Rceae70866a5c4c31"/>
    <x:sheet xmlns:r="http://schemas.openxmlformats.org/officeDocument/2006/relationships" name="DICCIONARIO" sheetId="6" r:id="R3e29a4f1855444c3"/>
    <x:sheet xmlns:r="http://schemas.openxmlformats.org/officeDocument/2006/relationships" name="ESPECIES_REFERENCIA" sheetId="7" r:id="R1c44d6f9c2734b34"/>
    <x:sheet xmlns:r="http://schemas.openxmlformats.org/officeDocument/2006/relationships" name="COSTOS_REFERENCIA" sheetId="8" r:id="Rd348faa54dd240ea"/>
    <x:sheet xmlns:r="http://schemas.openxmlformats.org/officeDocument/2006/relationships" name="CASOS_VDEP" sheetId="9" r:id="Re8b6cf4338504aa1"/>
    <x:sheet xmlns:r="http://schemas.openxmlformats.org/officeDocument/2006/relationships" name="RECEPTORES_VDEP" sheetId="10" r:id="Rc6c92d08e24b4fff"/>
    <x:sheet xmlns:r="http://schemas.openxmlformats.org/officeDocument/2006/relationships" name="VARIABLES_VDEP" sheetId="11" r:id="R1f4b736d7c0d42b5"/>
    <x:sheet xmlns:r="http://schemas.openxmlformats.org/officeDocument/2006/relationships" name="MULTAS_7317" sheetId="12" r:id="R06308b6888d9482d"/>
  </x:sheets>
</x:workbook>
</file>

<file path=xl/comments1.xml><?xml version="1.0" encoding="utf-8"?>
<x:comments xmlns:x="http://schemas.openxmlformats.org/spreadsheetml/2006/main">
  <x:authors>
    <x:author>tc={14F31711-D99A-D21E-57E5-165319964C22}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Tasa de ejemplo para operar la plantilla. Sustituir por una tasa validada y documentada para el caso.</x:t>
        </x:r>
      </x:text>
    </x:comment>
  </x:commentList>
</x:comments>
</file>

<file path=xl/comments2.xml><?xml version="1.0" encoding="utf-8"?>
<x:comments xmlns:x="http://schemas.openxmlformats.org/spreadsheetml/2006/main">
  <x:authors>
    <x:author>tc={A6F2A732-16D5-8CE2-8F2D-032AA807E222}</x:author>
    <x:author>tc={3110E231-62C6-E281-888F-F3209718B061}</x:author>
    <x:author>tc={792F4B06-64DC-5F45-AD69-D58431F1E522}</x:author>
  </x:authors>
  <x:commentList>
    <x:comment ref="M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Multiplicador para convertir la moneda original a la moneda del modelo. Debe documentarse la fecha y fuente del tipo de cambio.</x:t>
        </x:r>
      </x:text>
    </x:comment>
    <x:comment ref="N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Multiplicador para actualizar el año de precios. Documentar índice y años usados.</x:t>
        </x:r>
      </x:text>
    </x:comment>
    <x:comment ref="O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Factor de transferencia validado por diferencias ecológicas, socioeconómicas, geográficas o metodológicas. No usar como ajuste arbitrario.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#,##0.00"/>
    <x:numFmt numFmtId="202" formatCode="0"/>
    <x:numFmt numFmtId="203" formatCode="$#,##0.00"/>
    <x:numFmt numFmtId="204" formatCode="0%"/>
    <x:numFmt numFmtId="205" formatCode="[$₡-es-CR]#,##0"/>
    <x:numFmt numFmtId="206" formatCode="0.00"/>
  </x:numFmts>
  <x:fonts count="5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042"/>
      <x:name val="Carlito"/>
    </x:font>
    <x:font>
      <x:b/>
      <x:sz val="11"/>
      <x:color rgb="FFFFFFFF"/>
      <x:name val="Carlito"/>
    </x:font>
    <x:font>
      <x:b/>
      <x:sz val="12"/>
      <x:color rgb="FF143A52"/>
      <x:name val="Carlito"/>
    </x:font>
    <x:font>
      <x:b/>
      <x:sz val="11"/>
      <x:color rgb="FF143A52"/>
      <x:name val="Carlito"/>
    </x:font>
    <x:font>
      <x:sz val="11"/>
      <x:color rgb="FF173042"/>
      <x:name val="Carlito"/>
    </x:font>
    <x:font>
      <x:b/>
      <x:sz val="11"/>
      <x:color rgb="FF173042"/>
      <x:name val="Carlito"/>
    </x:font>
    <x:font>
      <x:sz val="11"/>
      <x:color rgb="FF173042"/>
      <x:name val="Carlito"/>
    </x:font>
    <x:font>
      <x:sz val="11"/>
      <x:color rgb="FF173042"/>
      <x:name val="Carlito"/>
    </x:font>
    <x:font>
      <x:i/>
      <x:sz val="11"/>
      <x:color rgb="FFB42318"/>
      <x:name val="Carlito"/>
    </x:font>
    <x:font>
      <x:b/>
      <x:sz val="10"/>
      <x:color rgb="FFFFFFFF"/>
      <x:name val="Carlito"/>
    </x:font>
    <x:font>
      <x:sz val="11"/>
      <x:color rgb="FF143A52"/>
      <x:name val="Carlito"/>
    </x:font>
    <x:font>
      <x:b/>
      <x:sz val="18"/>
      <x:color rgb="FFFFFFFF"/>
      <x:name val="Aptos"/>
    </x:font>
    <x:font>
      <x:i/>
      <x:sz val="10"/>
      <x:color rgb="FF173042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2"/>
      <x:color rgb="FF143A52"/>
      <x:name val="Aptos"/>
    </x:font>
    <x:font>
      <x:b/>
      <x:sz val="11"/>
      <x:color rgb="FF143A52"/>
      <x:name val="Aptos"/>
    </x:font>
    <x:font>
      <x:sz val="11"/>
      <x:color rgb="FF173042"/>
      <x:name val="Aptos"/>
    </x:font>
    <x:font>
      <x:b/>
      <x:sz val="11"/>
      <x:color rgb="FF173042"/>
      <x:name val="Aptos"/>
    </x:font>
    <x:font>
      <x:sz val="11"/>
      <x:color rgb="FF173042"/>
      <x:name val="Aptos"/>
    </x:font>
    <x:font>
      <x:sz val="11"/>
      <x:color rgb="FF173042"/>
      <x:name val="Aptos"/>
    </x:font>
    <x:font>
      <x:i/>
      <x:sz val="11"/>
      <x:color rgb="FFB42318"/>
      <x:name val="Aptos"/>
    </x:font>
    <x:font>
      <x:b/>
      <x:sz val="10"/>
      <x:color rgb="FFFFFFFF"/>
      <x:name val="Aptos"/>
    </x:font>
    <x:font>
      <x:sz val="11"/>
      <x:color rgb="FF143A52"/>
      <x:name val="Aptos"/>
    </x:font>
    <x:font>
      <x:b/>
      <x:sz val="10"/>
      <x:color rgb="FFB42318"/>
      <x:name val="Arial"/>
    </x:font>
    <x:font>
      <x:b/>
      <x:sz val="9"/>
      <x:color rgb="FFFFFFFF"/>
      <x:name val="Arial"/>
    </x:font>
    <x:font>
      <x:sz val="9"/>
      <x:color rgb="FF24333B"/>
      <x:name val="Arial"/>
    </x:font>
    <x:font>
      <x:b/>
      <x:sz val="9"/>
      <x:color rgb="FF24333B"/>
      <x:name val="Arial"/>
    </x:font>
    <x:font>
      <x:b/>
      <x:sz val="14"/>
      <x:color rgb="FFFFFFFF"/>
      <x:name val="Arial"/>
    </x:font>
    <x:font>
      <x:i/>
      <x:sz val="10"/>
      <x:color rgb="FF24333B"/>
      <x:name val="Arial"/>
    </x:font>
    <x:font>
      <x:b/>
      <x:sz val="18"/>
      <x:color rgb="FFFFFFFF"/>
      <x:name val="Arial"/>
    </x:font>
    <x:font>
      <x:i/>
      <x:sz val="10"/>
      <x:color rgb="FF173042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2"/>
      <x:color rgb="FF143A52"/>
      <x:name val="Arial"/>
    </x:font>
    <x:font>
      <x:b/>
      <x:sz val="11"/>
      <x:color rgb="FF143A52"/>
      <x:name val="Arial"/>
    </x:font>
    <x:font>
      <x:sz val="11"/>
      <x:color rgb="FF173042"/>
      <x:name val="Arial"/>
    </x:font>
    <x:font>
      <x:b/>
      <x:sz val="11"/>
      <x:color rgb="FF173042"/>
      <x:name val="Arial"/>
    </x:font>
    <x:font>
      <x:i/>
      <x:sz val="11"/>
      <x:color rgb="FFB42318"/>
      <x:name val="Arial"/>
    </x:font>
    <x:font>
      <x:sz val="11"/>
      <x:color rgb="FF143A52"/>
      <x:name val="Arial"/>
    </x:font>
    <x:font>
      <x:b/>
      <x:sz val="10"/>
      <x:color rgb="FFFFFFFF"/>
      <x:name val="Arial"/>
    </x:font>
    <x:font>
      <x:b/>
      <x:sz val="10"/>
      <x:color rgb="FF1F2933"/>
      <x:name val="Arial"/>
    </x:font>
    <x:font>
      <x:i/>
      <x:sz val="10"/>
      <x:color rgb="FF1F2933"/>
      <x:name val="Arial"/>
    </x:font>
    <x:font>
      <x:sz val="10"/>
      <x:color rgb="FF1F2933"/>
      <x:name val="Arial"/>
    </x:font>
    <x:font>
      <x:b/>
      <x:sz val="15"/>
      <x:color rgb="FFFFFFFF"/>
      <x:name val="Arial"/>
    </x:font>
    <x:font>
      <x:sz val="10"/>
      <x:color rgb="FF0000FF"/>
      <x:name val="Arial"/>
    </x:font>
    <x:font>
      <x:b/>
      <x:sz val="14"/>
      <x:color rgb="FFFFFFFF"/>
      <x:name val="Carlito"/>
    </x:font>
    <x:font>
      <x:i/>
      <x:sz val="11"/>
      <x:color rgb="FF143A52"/>
      <x:name val="Carlito"/>
    </x:font>
  </x:fonts>
  <x:fills count="67">
    <x:fill>
      <x:patternFill patternType="none"/>
    </x:fill>
    <x:fill>
      <x:patternFill patternType="gray125"/>
    </x:fill>
    <x:fill>
      <x:patternFill patternType="solid">
        <x:fgColor rgb="FF143A52"/>
      </x:patternFill>
    </x:fill>
    <x:fill>
      <x:patternFill patternType="solid">
        <x:fgColor rgb="FFDDF2F0"/>
      </x:patternFill>
    </x:fill>
    <x:fill>
      <x:patternFill patternType="solid">
        <x:fgColor rgb="FF147D80"/>
      </x:patternFill>
    </x:fill>
    <x:fill>
      <x:patternFill patternType="solid">
        <x:fgColor rgb="FFE6A93A"/>
      </x:patternFill>
    </x:fill>
    <x:fill>
      <x:patternFill patternType="solid">
        <x:fgColor rgb="FFFFFFFF"/>
      </x:patternFill>
    </x:fill>
    <x:fill>
      <x:patternFill patternType="solid">
        <x:fgColor rgb="FFF5F8FA"/>
      </x:patternFill>
    </x:fill>
    <x:fill>
      <x:patternFill patternType="solid">
        <x:fgColor rgb="FFE7F0F7"/>
      </x:patternFill>
    </x:fill>
    <x:fill>
      <x:patternFill patternType="solid">
        <x:fgColor rgb="FFFFF3D6"/>
      </x:patternFill>
    </x:fill>
    <x:fill>
      <x:patternFill patternType="solid">
        <x:fgColor rgb="FF143A52"/>
      </x:patternFill>
    </x:fill>
    <x:fill>
      <x:patternFill patternType="solid">
        <x:fgColor rgb="FFFFF2CC"/>
      </x:patternFill>
    </x:fill>
    <x:fill>
      <x:patternFill patternType="solid">
        <x:fgColor rgb="FF147D80"/>
      </x:patternFill>
    </x:fill>
    <x:fill>
      <x:patternFill patternType="solid">
        <x:fgColor rgb="FFD9EEF7"/>
      </x:patternFill>
    </x:fill>
    <x:fill>
      <x:patternFill patternType="solid">
        <x:fgColor rgb="FFD9F0EF"/>
      </x:patternFill>
    </x:fill>
    <x:fill>
      <x:patternFill patternType="solid">
        <x:fgColor rgb="FFF3F6F8"/>
      </x:patternFill>
    </x:fill>
    <x:fill>
      <x:patternFill patternType="solid">
        <x:fgColor rgb="FFFFFFFF"/>
      </x:patternFill>
    </x:fill>
    <x:fill>
      <x:patternFill patternType="solid">
        <x:fgColor rgb="FF173A4F"/>
      </x:patternFill>
    </x:fill>
    <x:fill>
      <x:patternFill patternType="solid">
        <x:fgColor rgb="FFDDEFEF"/>
      </x:patternFill>
    </x:fill>
    <x:fill>
      <x:patternFill patternType="solid">
        <x:fgColor rgb="FF147D80"/>
      </x:patternFill>
    </x:fill>
    <x:fill>
      <x:patternFill patternType="solid">
        <x:fgColor rgb="FFFFF2CC"/>
      </x:patternFill>
    </x:fill>
    <x:fill>
      <x:patternFill patternType="solid">
        <x:fgColor rgb="FFD9EAF2"/>
      </x:patternFill>
    </x:fill>
    <x:fill>
      <x:patternFill patternType="solid">
        <x:fgColor rgb="FFFFFFFF"/>
      </x:patternFill>
    </x:fill>
    <x:fill>
      <x:patternFill patternType="solid">
        <x:fgColor rgb="FF173A4F"/>
      </x:patternFill>
    </x:fill>
    <x:fill>
      <x:patternFill patternType="solid">
        <x:fgColor rgb="FFDDEFEF"/>
      </x:patternFill>
    </x:fill>
    <x:fill>
      <x:patternFill patternType="solid">
        <x:fgColor rgb="FF147D80"/>
      </x:patternFill>
    </x:fill>
    <x:fill>
      <x:patternFill patternType="solid">
        <x:fgColor rgb="FFFFF2CC"/>
      </x:patternFill>
    </x:fill>
    <x:fill>
      <x:patternFill patternType="solid">
        <x:fgColor rgb="FFD9EAF2"/>
      </x:patternFill>
    </x:fill>
    <x:fill>
      <x:patternFill patternType="solid">
        <x:fgColor rgb="FFFFFFFF"/>
      </x:patternFill>
    </x:fill>
    <x:fill>
      <x:patternFill patternType="solid">
        <x:fgColor rgb="FF173A4F"/>
      </x:patternFill>
    </x:fill>
    <x:fill>
      <x:patternFill patternType="solid">
        <x:fgColor rgb="FFDDEFEF"/>
      </x:patternFill>
    </x:fill>
    <x:fill>
      <x:patternFill patternType="solid">
        <x:fgColor rgb="FF147D80"/>
      </x:patternFill>
    </x:fill>
    <x:fill>
      <x:patternFill patternType="solid">
        <x:fgColor rgb="FFFFF2CC"/>
      </x:patternFill>
    </x:fill>
    <x:fill>
      <x:patternFill patternType="solid">
        <x:fgColor rgb="FFD9EAF2"/>
      </x:patternFill>
    </x:fill>
    <x:fill>
      <x:patternFill patternType="solid">
        <x:fgColor rgb="FFFFFFFF"/>
      </x:patternFill>
    </x:fill>
    <x:fill>
      <x:patternFill patternType="solid">
        <x:fgColor rgb="FF173A4F"/>
      </x:patternFill>
    </x:fill>
    <x:fill>
      <x:patternFill patternType="solid">
        <x:fgColor rgb="FFDDEFEF"/>
      </x:patternFill>
    </x:fill>
    <x:fill>
      <x:patternFill patternType="solid">
        <x:fgColor rgb="FF147D80"/>
      </x:patternFill>
    </x:fill>
    <x:fill>
      <x:patternFill patternType="solid">
        <x:fgColor rgb="FFFFF2CC"/>
      </x:patternFill>
    </x:fill>
    <x:fill>
      <x:patternFill patternType="solid">
        <x:fgColor rgb="FFD9EAF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147D80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43A52"/>
      </x:patternFill>
    </x:fill>
    <x:fill>
      <x:patternFill patternType="solid">
        <x:fgColor rgb="FFDDEBF7"/>
      </x:patternFill>
    </x:fill>
    <x:fill>
      <x:patternFill patternType="solid">
        <x:fgColor rgb="FF147D80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43A52"/>
      </x:patternFill>
    </x:fill>
    <x:fill>
      <x:patternFill patternType="solid">
        <x:fgColor rgb="FFDDEBF7"/>
      </x:patternFill>
    </x:fill>
    <x:fill>
      <x:patternFill patternType="solid">
        <x:fgColor rgb="FF147D80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43A52"/>
      </x:patternFill>
    </x:fill>
    <x:fill>
      <x:patternFill patternType="solid">
        <x:fgColor rgb="FFDDEBF7"/>
      </x:patternFill>
    </x:fill>
    <x:fill>
      <x:patternFill patternType="solid">
        <x:fgColor rgb="FF147D80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A4F"/>
      </x:patternFill>
    </x:fill>
    <x:fill>
      <x:patternFill patternType="solid">
        <x:fgColor rgb="FFDDEFEF"/>
      </x:patternFill>
    </x:fill>
    <x:fill>
      <x:patternFill patternType="solid">
        <x:fgColor rgb="FF147D80"/>
      </x:patternFill>
    </x:fill>
  </x:fills>
  <x:borders count="18">
    <x:border/>
    <x:border>
      <x:left style="thin">
        <x:color rgb="FF147D80"/>
      </x:left>
      <x:top style="thin">
        <x:color rgb="FF147D80"/>
      </x:top>
      <x:bottom style="thin">
        <x:color rgb="FF147D80"/>
      </x:bottom>
    </x:border>
    <x:border>
      <x:top style="thin">
        <x:color rgb="FF147D80"/>
      </x:top>
      <x:bottom style="thin">
        <x:color rgb="FF147D80"/>
      </x:bottom>
    </x:border>
    <x:border>
      <x:right style="thin">
        <x:color rgb="FF147D80"/>
      </x:right>
      <x:top style="thin">
        <x:color rgb="FF147D80"/>
      </x:top>
      <x:bottom style="thin">
        <x:color rgb="FF147D80"/>
      </x:bottom>
    </x:border>
    <x:border>
      <x:bottom style="thin">
        <x:color rgb="FFCAD5DC"/>
      </x:bottom>
    </x:border>
    <x:border>
      <x:top style="thin">
        <x:color rgb="FFCAD5DC"/>
      </x:top>
      <x:bottom style="thin">
        <x:color rgb="FFCAD5DC"/>
      </x:bottom>
    </x:border>
    <x:border>
      <x:bottom style="thin">
        <x:color rgb="FFE3E9ED"/>
      </x:bottom>
    </x:border>
    <x:border>
      <x:top style="thin">
        <x:color rgb="FFE3E9ED"/>
      </x:top>
      <x:bottom style="thin">
        <x:color rgb="FFE3E9ED"/>
      </x:bottom>
    </x:border>
    <x:border>
      <x:top style="thin">
        <x:color rgb="FFE3E9ED"/>
      </x:top>
    </x:border>
    <x:border>
      <x:left style="thin">
        <x:color rgb="FF147D80"/>
      </x:left>
      <x:top style="thin">
        <x:color rgb="FF147D80"/>
      </x:top>
      <x:bottom style="thin">
        <x:color rgb="FFCAD5DC"/>
      </x:bottom>
    </x:border>
    <x:border>
      <x:top style="thin">
        <x:color rgb="FF147D80"/>
      </x:top>
      <x:bottom style="thin">
        <x:color rgb="FFCAD5DC"/>
      </x:bottom>
    </x:border>
    <x:border>
      <x:left style="thin">
        <x:color rgb="FF147D80"/>
      </x:left>
      <x:top style="thin">
        <x:color rgb="FFCAD5DC"/>
      </x:top>
      <x:bottom style="thin">
        <x:color rgb="FFCAD5DC"/>
      </x:bottom>
    </x:border>
    <x:border>
      <x:left style="thin">
        <x:color rgb="FF147D80"/>
      </x:left>
      <x:top style="thin">
        <x:color rgb="FFCAD5DC"/>
      </x:top>
      <x:bottom style="thin">
        <x:color rgb="FF147D80"/>
      </x:bottom>
    </x:border>
    <x:border>
      <x:top style="thin">
        <x:color rgb="FFCAD5DC"/>
      </x:top>
      <x:bottom style="thin">
        <x:color rgb="FF147D80"/>
      </x:bottom>
    </x:border>
    <x:border>
      <x:top style="thin">
        <x:color rgb="FFCAD5DC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E5"/>
      </x:left>
      <x:right style="thin">
        <x:color rgb="FFD9E1E5"/>
      </x:right>
      <x:top style="thin">
        <x:color rgb="FFD9E1E5"/>
      </x:top>
      <x:bottom style="thin">
        <x:color rgb="FFD9E1E5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/>
    <x:xf numFmtId="0" fontId="11" fillId="4" borderId="1" xfId="0" applyNumberFormat="1" applyFont="1" applyFill="1" applyBorder="1"/>
    <x:xf numFmtId="0" fontId="11" fillId="4" borderId="2" xfId="0" applyNumberFormat="1" applyFont="1" applyFill="1" applyBorder="1"/>
    <x:xf numFmtId="0" fontId="11" fillId="4" borderId="3" xfId="0" applyNumberFormat="1" applyFont="1" applyFill="1" applyBorder="1"/>
    <x:xf numFmtId="0" fontId="11" fillId="4" borderId="1" xfId="0" applyNumberFormat="1" applyFont="1" applyFill="1" applyBorder="1" applyAlignment="1">
      <x:alignment wrapText="1"/>
    </x:xf>
    <x:xf numFmtId="0" fontId="11" fillId="4" borderId="2" xfId="0" applyNumberFormat="1" applyFont="1" applyFill="1" applyBorder="1" applyAlignment="1">
      <x:alignment wrapText="1"/>
    </x:xf>
    <x:xf numFmtId="0" fontId="11" fillId="4" borderId="3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horizontal="center" wrapText="1"/>
    </x:xf>
    <x:xf numFmtId="0" fontId="11" fillId="4" borderId="2" xfId="0" applyNumberFormat="1" applyFont="1" applyFill="1" applyBorder="1" applyAlignment="1">
      <x:alignment horizontal="center" wrapText="1"/>
    </x:xf>
    <x:xf numFmtId="0" fontId="11" fillId="4" borderId="3" xfId="0" applyNumberFormat="1" applyFont="1" applyFill="1" applyBorder="1" applyAlignment="1">
      <x:alignment horizont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200" fontId="6" fillId="9" borderId="0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 wrapText="1"/>
    </x:xf>
    <x:xf numFmtId="200" fontId="6" fillId="9" borderId="5" xfId="0" applyNumberFormat="1" applyFont="1" applyFill="1" applyBorder="1" applyAlignment="1">
      <x:alignment vertical="center"/>
    </x:xf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vertical="center"/>
    </x:xf>
    <x:xf numFmtId="201" fontId="6" fillId="9" borderId="0" xfId="0" applyNumberFormat="1" applyFont="1" applyFill="1" applyBorder="1" applyAlignment="1">
      <x:alignment vertical="center"/>
    </x:xf>
    <x:xf numFmtId="201" fontId="12" fillId="8" borderId="0" xfId="0" applyNumberFormat="1" applyFont="1" applyFill="1" applyBorder="1" applyAlignment="1">
      <x:alignment vertical="center"/>
    </x:xf>
    <x:xf numFmtId="202" fontId="6" fillId="9" borderId="0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202" fontId="6" fillId="9" borderId="6" xfId="0" applyNumberFormat="1" applyFont="1" applyFill="1" applyBorder="1" applyAlignment="1">
      <x:alignment vertical="center"/>
    </x:xf>
    <x:xf numFmtId="201" fontId="6" fillId="9" borderId="6" xfId="0" applyNumberFormat="1" applyFont="1" applyFill="1" applyBorder="1" applyAlignment="1">
      <x:alignment vertical="center"/>
    </x:xf>
    <x:xf numFmtId="201" fontId="12" fillId="8" borderId="6" xfId="0" applyNumberFormat="1" applyFont="1" applyFill="1" applyBorder="1" applyAlignment="1">
      <x:alignment vertical="center"/>
    </x:xf>
    <x:xf numFmtId="0" fontId="5" fillId="8" borderId="6" xfId="0" applyNumberFormat="1" applyFont="1" applyFill="1" applyBorder="1" applyAlignment="1">
      <x:alignment vertical="center"/>
    </x:xf>
    <x:xf numFmtId="0" fontId="6" fillId="9" borderId="7" xfId="0" applyNumberFormat="1" applyFont="1" applyFill="1" applyBorder="1" applyAlignment="1">
      <x:alignment vertical="center"/>
    </x:xf>
    <x:xf numFmtId="202" fontId="6" fillId="9" borderId="7" xfId="0" applyNumberFormat="1" applyFont="1" applyFill="1" applyBorder="1" applyAlignment="1">
      <x:alignment vertical="center"/>
    </x:xf>
    <x:xf numFmtId="201" fontId="6" fillId="9" borderId="7" xfId="0" applyNumberFormat="1" applyFont="1" applyFill="1" applyBorder="1" applyAlignment="1">
      <x:alignment vertical="center"/>
    </x:xf>
    <x:xf numFmtId="201" fontId="12" fillId="8" borderId="7" xfId="0" applyNumberFormat="1" applyFont="1" applyFill="1" applyBorder="1" applyAlignment="1">
      <x:alignment vertical="center"/>
    </x:xf>
    <x:xf numFmtId="0" fontId="5" fillId="8" borderId="7" xfId="0" applyNumberFormat="1" applyFont="1" applyFill="1" applyBorder="1" applyAlignment="1">
      <x:alignment vertical="center"/>
    </x:xf>
    <x:xf numFmtId="0" fontId="6" fillId="9" borderId="8" xfId="0" applyNumberFormat="1" applyFont="1" applyFill="1" applyBorder="1" applyAlignment="1">
      <x:alignment vertical="center"/>
    </x:xf>
    <x:xf numFmtId="202" fontId="6" fillId="9" borderId="8" xfId="0" applyNumberFormat="1" applyFont="1" applyFill="1" applyBorder="1" applyAlignment="1">
      <x:alignment vertical="center"/>
    </x:xf>
    <x:xf numFmtId="201" fontId="6" fillId="9" borderId="8" xfId="0" applyNumberFormat="1" applyFont="1" applyFill="1" applyBorder="1" applyAlignment="1">
      <x:alignment vertical="center"/>
    </x:xf>
    <x:xf numFmtId="201" fontId="12" fillId="8" borderId="8" xfId="0" applyNumberFormat="1" applyFont="1" applyFill="1" applyBorder="1" applyAlignment="1">
      <x:alignment vertical="center"/>
    </x:xf>
    <x:xf numFmtId="0" fontId="5" fillId="8" borderId="8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4" fillId="8" borderId="4" xfId="0" applyNumberFormat="1" applyFont="1" applyFill="1" applyBorder="1" applyAlignment="1">
      <x:alignment horizontal="center" vertical="center"/>
    </x:xf>
    <x:xf numFmtId="0" fontId="4" fillId="8" borderId="5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vertical="center"/>
    </x:xf>
    <x:xf numFmtId="0" fontId="11" fillId="4" borderId="9" xfId="0" applyNumberFormat="1" applyFont="1" applyFill="1" applyBorder="1" applyAlignment="1">
      <x:alignment horizontal="center" vertical="center" wrapText="1"/>
    </x:xf>
    <x:xf numFmtId="0" fontId="11" fillId="4" borderId="10" xfId="0" applyNumberFormat="1" applyFont="1" applyFill="1" applyBorder="1" applyAlignment="1">
      <x:alignment horizontal="center" vertical="center" wrapText="1"/>
    </x:xf>
    <x:xf numFmtId="0" fontId="6" fillId="7" borderId="11" xfId="0" applyNumberFormat="1" applyFont="1" applyFill="1" applyBorder="1" applyAlignment="1">
      <x:alignment vertical="center"/>
    </x:xf>
    <x:xf numFmtId="0" fontId="6" fillId="7" borderId="5" xfId="0" applyNumberFormat="1" applyFont="1" applyFill="1" applyBorder="1" applyAlignment="1">
      <x:alignment vertical="center"/>
    </x:xf>
    <x:xf numFmtId="0" fontId="6" fillId="7" borderId="12" xfId="0" applyNumberFormat="1" applyFont="1" applyFill="1" applyBorder="1" applyAlignment="1">
      <x:alignment vertical="center"/>
    </x:xf>
    <x:xf numFmtId="0" fontId="6" fillId="7" borderId="13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vertical="center" wrapText="1"/>
    </x:xf>
    <x:xf numFmtId="0" fontId="14" fillId="3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6" fillId="4" borderId="0" xfId="0" applyNumberFormat="1" applyFont="1" applyFill="1" applyBorder="1" applyAlignment="1">
      <x:alignment vertical="center"/>
    </x:xf>
    <x:xf numFmtId="0" fontId="17" fillId="5" borderId="0" xfId="0" applyNumberFormat="1" applyFont="1" applyFill="1" applyBorder="1" applyAlignment="1">
      <x:alignment horizontal="center" vertical="center"/>
    </x:xf>
    <x:xf numFmtId="0" fontId="18" fillId="0" borderId="0" xfId="0" applyNumberFormat="1" applyFont="1" applyFill="1" applyBorder="1" applyAlignment="1">
      <x:alignment vertical="center"/>
    </x:xf>
    <x:xf numFmtId="0" fontId="19" fillId="6" borderId="0" xfId="0" applyNumberFormat="1" applyFont="1" applyFill="1" applyBorder="1" applyAlignment="1">
      <x:alignment vertical="center" wrapText="1"/>
    </x:xf>
    <x:xf numFmtId="0" fontId="19" fillId="7" borderId="0" xfId="0" applyNumberFormat="1" applyFont="1" applyFill="1" applyBorder="1" applyAlignment="1">
      <x:alignment vertical="center" wrapText="1"/>
    </x:xf>
    <x:xf numFmtId="0" fontId="18" fillId="8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 applyAlignment="1">
      <x:alignment vertical="center" wrapText="1"/>
    </x:xf>
    <x:xf numFmtId="0" fontId="20" fillId="9" borderId="0" xfId="0" applyNumberFormat="1" applyFont="1" applyFill="1" applyBorder="1" applyAlignment="1">
      <x:alignment vertical="center" wrapText="1"/>
    </x:xf>
    <x:xf numFmtId="0" fontId="21" fillId="7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 applyAlignment="1">
      <x:alignment vertical="center" wrapText="1"/>
    </x:xf>
    <x:xf numFmtId="0" fontId="24" fillId="4" borderId="1" xfId="0" applyNumberFormat="1" applyFont="1" applyFill="1" applyBorder="1" applyAlignment="1">
      <x:alignment horizontal="center" vertical="center" wrapText="1"/>
    </x:xf>
    <x:xf numFmtId="0" fontId="24" fillId="4" borderId="2" xfId="0" applyNumberFormat="1" applyFont="1" applyFill="1" applyBorder="1" applyAlignment="1">
      <x:alignment horizontal="center" vertical="center" wrapText="1"/>
    </x:xf>
    <x:xf numFmtId="0" fontId="24" fillId="4" borderId="3" xfId="0" applyNumberFormat="1" applyFont="1" applyFill="1" applyBorder="1" applyAlignment="1">
      <x:alignment horizontal="center" vertical="center" wrapText="1"/>
    </x:xf>
    <x:xf numFmtId="0" fontId="18" fillId="0" borderId="4" xfId="0" applyNumberFormat="1" applyFont="1" applyFill="1" applyBorder="1" applyAlignment="1">
      <x:alignment vertical="center"/>
    </x:xf>
    <x:xf numFmtId="0" fontId="19" fillId="9" borderId="4" xfId="0" applyNumberFormat="1" applyFont="1" applyFill="1" applyBorder="1" applyAlignment="1">
      <x:alignment vertical="center"/>
    </x:xf>
    <x:xf numFmtId="0" fontId="19" fillId="0" borderId="4" xfId="0" applyNumberFormat="1" applyFont="1" applyFill="1" applyBorder="1" applyAlignment="1">
      <x:alignment vertical="center" wrapText="1"/>
    </x:xf>
    <x:xf numFmtId="0" fontId="18" fillId="0" borderId="5" xfId="0" applyNumberFormat="1" applyFont="1" applyFill="1" applyBorder="1" applyAlignment="1">
      <x:alignment vertical="center"/>
    </x:xf>
    <x:xf numFmtId="0" fontId="19" fillId="9" borderId="5" xfId="0" applyNumberFormat="1" applyFont="1" applyFill="1" applyBorder="1" applyAlignment="1">
      <x:alignment vertical="center"/>
    </x:xf>
    <x:xf numFmtId="0" fontId="19" fillId="0" borderId="5" xfId="0" applyNumberFormat="1" applyFont="1" applyFill="1" applyBorder="1" applyAlignment="1">
      <x:alignment vertical="center" wrapText="1"/>
    </x:xf>
    <x:xf numFmtId="200" fontId="19" fillId="9" borderId="5" xfId="0" applyNumberFormat="1" applyFont="1" applyFill="1" applyBorder="1" applyAlignment="1">
      <x:alignment vertical="center"/>
    </x:xf>
    <x:xf numFmtId="0" fontId="19" fillId="9" borderId="6" xfId="0" applyNumberFormat="1" applyFont="1" applyFill="1" applyBorder="1" applyAlignment="1">
      <x:alignment vertical="center"/>
    </x:xf>
    <x:xf numFmtId="202" fontId="19" fillId="9" borderId="6" xfId="0" applyNumberFormat="1" applyFont="1" applyFill="1" applyBorder="1" applyAlignment="1">
      <x:alignment vertical="center"/>
    </x:xf>
    <x:xf numFmtId="201" fontId="19" fillId="9" borderId="6" xfId="0" applyNumberFormat="1" applyFont="1" applyFill="1" applyBorder="1" applyAlignment="1">
      <x:alignment vertical="center"/>
    </x:xf>
    <x:xf numFmtId="201" fontId="25" fillId="8" borderId="6" xfId="0" applyNumberFormat="1" applyFont="1" applyFill="1" applyBorder="1" applyAlignment="1">
      <x:alignment vertical="center"/>
    </x:xf>
    <x:xf numFmtId="0" fontId="18" fillId="8" borderId="6" xfId="0" applyNumberFormat="1" applyFont="1" applyFill="1" applyBorder="1" applyAlignment="1">
      <x:alignment vertical="center"/>
    </x:xf>
    <x:xf numFmtId="0" fontId="19" fillId="9" borderId="7" xfId="0" applyNumberFormat="1" applyFont="1" applyFill="1" applyBorder="1" applyAlignment="1">
      <x:alignment vertical="center"/>
    </x:xf>
    <x:xf numFmtId="202" fontId="19" fillId="9" borderId="7" xfId="0" applyNumberFormat="1" applyFont="1" applyFill="1" applyBorder="1" applyAlignment="1">
      <x:alignment vertical="center"/>
    </x:xf>
    <x:xf numFmtId="201" fontId="19" fillId="9" borderId="7" xfId="0" applyNumberFormat="1" applyFont="1" applyFill="1" applyBorder="1" applyAlignment="1">
      <x:alignment vertical="center"/>
    </x:xf>
    <x:xf numFmtId="201" fontId="25" fillId="8" borderId="7" xfId="0" applyNumberFormat="1" applyFont="1" applyFill="1" applyBorder="1" applyAlignment="1">
      <x:alignment vertical="center"/>
    </x:xf>
    <x:xf numFmtId="0" fontId="18" fillId="8" borderId="7" xfId="0" applyNumberFormat="1" applyFont="1" applyFill="1" applyBorder="1" applyAlignment="1">
      <x:alignment vertical="center"/>
    </x:xf>
    <x:xf numFmtId="0" fontId="19" fillId="9" borderId="8" xfId="0" applyNumberFormat="1" applyFont="1" applyFill="1" applyBorder="1" applyAlignment="1">
      <x:alignment vertical="center"/>
    </x:xf>
    <x:xf numFmtId="202" fontId="19" fillId="9" borderId="8" xfId="0" applyNumberFormat="1" applyFont="1" applyFill="1" applyBorder="1" applyAlignment="1">
      <x:alignment vertical="center"/>
    </x:xf>
    <x:xf numFmtId="201" fontId="19" fillId="9" borderId="8" xfId="0" applyNumberFormat="1" applyFont="1" applyFill="1" applyBorder="1" applyAlignment="1">
      <x:alignment vertical="center"/>
    </x:xf>
    <x:xf numFmtId="201" fontId="25" fillId="8" borderId="8" xfId="0" applyNumberFormat="1" applyFont="1" applyFill="1" applyBorder="1" applyAlignment="1">
      <x:alignment vertical="center"/>
    </x:xf>
    <x:xf numFmtId="0" fontId="18" fillId="8" borderId="8" xfId="0" applyNumberFormat="1" applyFont="1" applyFill="1" applyBorder="1" applyAlignment="1">
      <x:alignment vertical="center"/>
    </x:xf>
    <x:xf numFmtId="0" fontId="17" fillId="8" borderId="4" xfId="0" applyNumberFormat="1" applyFont="1" applyFill="1" applyBorder="1" applyAlignment="1">
      <x:alignment horizontal="center" vertical="center"/>
    </x:xf>
    <x:xf numFmtId="0" fontId="17" fillId="8" borderId="5" xfId="0" applyNumberFormat="1" applyFont="1" applyFill="1" applyBorder="1" applyAlignment="1">
      <x:alignment horizontal="center" vertical="center"/>
    </x:xf>
    <x:xf numFmtId="0" fontId="24" fillId="4" borderId="9" xfId="0" applyNumberFormat="1" applyFont="1" applyFill="1" applyBorder="1" applyAlignment="1">
      <x:alignment horizontal="center" vertical="center" wrapText="1"/>
    </x:xf>
    <x:xf numFmtId="0" fontId="24" fillId="4" borderId="10" xfId="0" applyNumberFormat="1" applyFont="1" applyFill="1" applyBorder="1" applyAlignment="1">
      <x:alignment horizontal="center" vertical="center" wrapText="1"/>
    </x:xf>
    <x:xf numFmtId="0" fontId="19" fillId="7" borderId="11" xfId="0" applyNumberFormat="1" applyFont="1" applyFill="1" applyBorder="1" applyAlignment="1">
      <x:alignment vertical="center"/>
    </x:xf>
    <x:xf numFmtId="0" fontId="19" fillId="7" borderId="5" xfId="0" applyNumberFormat="1" applyFont="1" applyFill="1" applyBorder="1" applyAlignment="1">
      <x:alignment vertical="center"/>
    </x:xf>
    <x:xf numFmtId="0" fontId="19" fillId="7" borderId="12" xfId="0" applyNumberFormat="1" applyFont="1" applyFill="1" applyBorder="1" applyAlignment="1">
      <x:alignment vertical="center"/>
    </x:xf>
    <x:xf numFmtId="0" fontId="19" fillId="7" borderId="13" xfId="0" applyNumberFormat="1" applyFont="1" applyFill="1" applyBorder="1" applyAlignment="1">
      <x:alignment vertical="center"/>
    </x:xf>
    <x:xf numFmtId="0" fontId="18" fillId="0" borderId="4" xfId="0" applyNumberFormat="1" applyFont="1" applyFill="1" applyBorder="1" applyAlignment="1">
      <x:alignment vertical="center" wrapText="1"/>
    </x:xf>
    <x:xf numFmtId="0" fontId="18" fillId="0" borderId="5" xfId="0" applyNumberFormat="1" applyFont="1" applyFill="1" applyBorder="1" applyAlignment="1">
      <x:alignment vertical="center" wrapText="1"/>
    </x:xf>
    <x:xf numFmtId="0" fontId="18" fillId="0" borderId="14" xfId="0" applyNumberFormat="1" applyFont="1" applyFill="1" applyBorder="1" applyAlignment="1">
      <x:alignment vertical="center" wrapText="1"/>
    </x:xf>
    <x:xf numFmtId="0" fontId="19" fillId="0" borderId="14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vertical="center" wrapText="1"/>
    </x:xf>
    <x:xf numFmtId="0" fontId="20" fillId="11" borderId="0" xfId="0" applyNumberFormat="1" applyFont="1" applyFill="1" applyBorder="1" applyAlignment="1">
      <x:alignment vertical="center" wrapText="1"/>
    </x:xf>
    <x:xf numFmtId="0" fontId="26" fillId="11" borderId="0" xfId="0" applyNumberFormat="1" applyFont="1" applyFill="1" applyBorder="1" applyAlignment="1">
      <x:alignment vertical="center" wrapText="1"/>
    </x:xf>
    <x:xf numFmtId="0" fontId="24" fillId="12" borderId="1" xfId="0" applyNumberFormat="1" applyFont="1" applyFill="1" applyBorder="1" applyAlignment="1">
      <x:alignment horizontal="center" vertical="center" wrapText="1"/>
    </x:xf>
    <x:xf numFmtId="0" fontId="24" fillId="12" borderId="2" xfId="0" applyNumberFormat="1" applyFont="1" applyFill="1" applyBorder="1" applyAlignment="1">
      <x:alignment horizontal="center" vertical="center" wrapText="1"/>
    </x:xf>
    <x:xf numFmtId="0" fontId="24" fillId="12" borderId="3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7" fillId="12" borderId="1" xfId="0" applyNumberFormat="1" applyFont="1" applyFill="1" applyBorder="1" applyAlignment="1">
      <x:alignment horizontal="center" vertical="center" wrapText="1"/>
    </x:xf>
    <x:xf numFmtId="0" fontId="27" fillId="12" borderId="2" xfId="0" applyNumberFormat="1" applyFont="1" applyFill="1" applyBorder="1" applyAlignment="1">
      <x:alignment horizontal="center" vertical="center" wrapText="1"/>
    </x:xf>
    <x:xf numFmtId="0" fontId="27" fillId="12" borderId="3" xfId="0" applyNumberFormat="1" applyFont="1" applyFill="1" applyBorder="1" applyAlignment="1">
      <x:alignment horizontal="center" vertical="center" wrapText="1"/>
    </x:xf>
    <x:xf numFmtId="0" fontId="27" fillId="12" borderId="0" xfId="0" applyNumberFormat="1" applyFont="1" applyFill="1" applyBorder="1"/>
    <x:xf numFmtId="0" fontId="27" fillId="12" borderId="15" xfId="0" applyNumberFormat="1" applyFont="1" applyFill="1" applyBorder="1" applyAlignment="1">
      <x:alignment horizontal="center" vertical="center" wrapText="1"/>
    </x:xf>
    <x:xf numFmtId="0" fontId="27" fillId="12" borderId="15" xfId="0" applyNumberFormat="1" applyFont="1" applyFill="1" applyBorder="1"/>
    <x:xf numFmtId="0" fontId="27" fillId="12" borderId="15" xfId="0" applyNumberFormat="1" applyFont="1" applyFill="1" applyBorder="1" applyAlignment="1">
      <x:alignment wrapText="1"/>
    </x:xf>
    <x:xf numFmtId="0" fontId="27" fillId="12" borderId="15" xfId="0" applyNumberFormat="1" applyFont="1" applyFill="1" applyBorder="1" applyAlignment="1">
      <x:alignment horizontal="center" wrapText="1"/>
    </x:xf>
    <x:xf numFmtId="0" fontId="28" fillId="9" borderId="6" xfId="0" applyNumberFormat="1" applyFont="1" applyFill="1" applyBorder="1" applyAlignment="1">
      <x:alignment vertical="center"/>
    </x:xf>
    <x:xf numFmtId="202" fontId="28" fillId="9" borderId="6" xfId="0" applyNumberFormat="1" applyFont="1" applyFill="1" applyBorder="1" applyAlignment="1">
      <x:alignment vertical="center"/>
    </x:xf>
    <x:xf numFmtId="201" fontId="28" fillId="9" borderId="6" xfId="0" applyNumberFormat="1" applyFont="1" applyFill="1" applyBorder="1" applyAlignment="1">
      <x:alignment vertical="center"/>
    </x:xf>
    <x:xf numFmtId="201" fontId="28" fillId="8" borderId="6" xfId="0" applyNumberFormat="1" applyFont="1" applyFill="1" applyBorder="1" applyAlignment="1">
      <x:alignment vertical="center"/>
    </x:xf>
    <x:xf numFmtId="0" fontId="29" fillId="8" borderId="6" xfId="0" applyNumberFormat="1" applyFont="1" applyFill="1" applyBorder="1" applyAlignment="1">
      <x:alignment vertical="center"/>
    </x:xf>
    <x:xf numFmtId="0" fontId="28" fillId="0" borderId="0" xfId="0" applyNumberFormat="1" applyFont="1" applyFill="1" applyBorder="1"/>
    <x:xf numFmtId="0" fontId="28" fillId="9" borderId="7" xfId="0" applyNumberFormat="1" applyFont="1" applyFill="1" applyBorder="1" applyAlignment="1">
      <x:alignment vertical="center"/>
    </x:xf>
    <x:xf numFmtId="202" fontId="28" fillId="9" borderId="7" xfId="0" applyNumberFormat="1" applyFont="1" applyFill="1" applyBorder="1" applyAlignment="1">
      <x:alignment vertical="center"/>
    </x:xf>
    <x:xf numFmtId="201" fontId="28" fillId="9" borderId="7" xfId="0" applyNumberFormat="1" applyFont="1" applyFill="1" applyBorder="1" applyAlignment="1">
      <x:alignment vertical="center"/>
    </x:xf>
    <x:xf numFmtId="201" fontId="28" fillId="8" borderId="7" xfId="0" applyNumberFormat="1" applyFont="1" applyFill="1" applyBorder="1" applyAlignment="1">
      <x:alignment vertical="center"/>
    </x:xf>
    <x:xf numFmtId="0" fontId="29" fillId="8" borderId="7" xfId="0" applyNumberFormat="1" applyFont="1" applyFill="1" applyBorder="1" applyAlignment="1">
      <x:alignment vertical="center"/>
    </x:xf>
    <x:xf numFmtId="0" fontId="28" fillId="9" borderId="16" xfId="0" applyNumberFormat="1" applyFont="1" applyFill="1" applyBorder="1" applyAlignment="1">
      <x:alignment vertical="center"/>
    </x:xf>
    <x:xf numFmtId="202" fontId="28" fillId="9" borderId="16" xfId="0" applyNumberFormat="1" applyFont="1" applyFill="1" applyBorder="1" applyAlignment="1">
      <x:alignment vertical="center"/>
    </x:xf>
    <x:xf numFmtId="201" fontId="28" fillId="9" borderId="16" xfId="0" applyNumberFormat="1" applyFont="1" applyFill="1" applyBorder="1" applyAlignment="1">
      <x:alignment vertical="center"/>
    </x:xf>
    <x:xf numFmtId="201" fontId="28" fillId="8" borderId="16" xfId="0" applyNumberFormat="1" applyFont="1" applyFill="1" applyBorder="1" applyAlignment="1">
      <x:alignment vertical="center"/>
    </x:xf>
    <x:xf numFmtId="0" fontId="29" fillId="8" borderId="16" xfId="0" applyNumberFormat="1" applyFont="1" applyFill="1" applyBorder="1" applyAlignment="1">
      <x:alignment vertical="center"/>
    </x:xf>
    <x:xf numFmtId="0" fontId="28" fillId="0" borderId="16" xfId="0" applyNumberFormat="1" applyFont="1" applyFill="1" applyBorder="1"/>
    <x:xf numFmtId="0" fontId="28" fillId="9" borderId="16" xfId="0" applyNumberFormat="1" applyFont="1" applyFill="1" applyBorder="1" applyAlignment="1">
      <x:alignment vertical="center" wrapText="1"/>
    </x:xf>
    <x:xf numFmtId="202" fontId="28" fillId="9" borderId="16" xfId="0" applyNumberFormat="1" applyFont="1" applyFill="1" applyBorder="1" applyAlignment="1">
      <x:alignment vertical="center" wrapText="1"/>
    </x:xf>
    <x:xf numFmtId="201" fontId="28" fillId="9" borderId="16" xfId="0" applyNumberFormat="1" applyFont="1" applyFill="1" applyBorder="1" applyAlignment="1">
      <x:alignment vertical="center" wrapText="1"/>
    </x:xf>
    <x:xf numFmtId="201" fontId="28" fillId="8" borderId="16" xfId="0" applyNumberFormat="1" applyFont="1" applyFill="1" applyBorder="1" applyAlignment="1">
      <x:alignment vertical="center" wrapText="1"/>
    </x:xf>
    <x:xf numFmtId="0" fontId="29" fillId="8" borderId="16" xfId="0" applyNumberFormat="1" applyFont="1" applyFill="1" applyBorder="1" applyAlignment="1">
      <x:alignment vertical="center" wrapText="1"/>
    </x:xf>
    <x:xf numFmtId="0" fontId="28" fillId="0" borderId="16" xfId="0" applyNumberFormat="1" applyFont="1" applyFill="1" applyBorder="1" applyAlignment="1">
      <x:alignment wrapText="1"/>
    </x:xf>
    <x:xf numFmtId="0" fontId="28" fillId="0" borderId="16" xfId="0" applyNumberFormat="1" applyFont="1" applyFill="1" applyBorder="1" applyAlignment="1">
      <x:alignment vertical="center" wrapText="1"/>
    </x:xf>
    <x:xf numFmtId="0" fontId="28" fillId="11" borderId="16" xfId="0" applyNumberFormat="1" applyFont="1" applyFill="1" applyBorder="1" applyAlignment="1">
      <x:alignment vertical="center" wrapText="1"/>
    </x:xf>
    <x:xf numFmtId="202" fontId="28" fillId="11" borderId="16" xfId="0" applyNumberFormat="1" applyFont="1" applyFill="1" applyBorder="1" applyAlignment="1">
      <x:alignment vertical="center" wrapText="1"/>
    </x:xf>
    <x:xf numFmtId="201" fontId="28" fillId="11" borderId="16" xfId="0" applyNumberFormat="1" applyFont="1" applyFill="1" applyBorder="1" applyAlignment="1">
      <x:alignment vertical="center" wrapText="1"/>
    </x:xf>
    <x:xf numFmtId="201" fontId="28" fillId="13" borderId="16" xfId="0" applyNumberFormat="1" applyFont="1" applyFill="1" applyBorder="1" applyAlignment="1">
      <x:alignment vertical="center" wrapText="1"/>
    </x:xf>
    <x:xf numFmtId="0" fontId="29" fillId="13" borderId="16" xfId="0" applyNumberFormat="1" applyFont="1" applyFill="1" applyBorder="1" applyAlignment="1">
      <x:alignment vertical="center" wrapText="1"/>
    </x:xf>
    <x:xf numFmtId="203" fontId="28" fillId="11" borderId="16" xfId="0" applyNumberFormat="1" applyFont="1" applyFill="1" applyBorder="1" applyAlignment="1">
      <x:alignment vertical="center" wrapText="1"/>
    </x:xf>
    <x:xf numFmtId="203" fontId="28" fillId="13" borderId="16" xfId="0" applyNumberFormat="1" applyFont="1" applyFill="1" applyBorder="1" applyAlignment="1">
      <x:alignment vertical="center" wrapText="1"/>
    </x:xf>
    <x:xf numFmtId="204" fontId="28" fillId="11" borderId="16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0" fillId="10" borderId="0" xfId="0" applyNumberFormat="1" applyFont="1" applyFill="1" applyBorder="1"/>
    <x:xf numFmtId="0" fontId="30" fillId="10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31" fillId="14" borderId="0" xfId="0" applyNumberFormat="1" applyFont="1" applyFill="1" applyBorder="1"/>
    <x:xf numFmtId="0" fontId="31" fillId="14" borderId="0" xfId="0" applyNumberFormat="1" applyFont="1" applyFill="1" applyBorder="1" applyAlignment="1">
      <x:alignment vertical="center"/>
    </x:xf>
    <x:xf numFmtId="0" fontId="28" fillId="15" borderId="16" xfId="0" applyNumberFormat="1" applyFont="1" applyFill="1" applyBorder="1" applyAlignment="1">
      <x:alignment vertical="center" wrapText="1"/>
    </x:xf>
    <x:xf numFmtId="0" fontId="28" fillId="16" borderId="16" xfId="0" applyNumberFormat="1" applyFont="1" applyFill="1" applyBorder="1" applyAlignment="1">
      <x:alignment vertical="center" wrapText="1"/>
    </x:xf>
    <x:xf numFmtId="0" fontId="28" fillId="13" borderId="16" xfId="0" applyNumberFormat="1" applyFont="1" applyFill="1" applyBorder="1" applyAlignment="1">
      <x:alignment vertical="center" wrapText="1"/>
    </x:xf>
    <x:xf numFmtId="0" fontId="32" fillId="10" borderId="0" xfId="0" applyNumberFormat="1" applyFont="1" applyFill="1" applyBorder="1" applyAlignment="1">
      <x:alignment vertical="center" wrapText="1"/>
    </x:xf>
    <x:xf numFmtId="0" fontId="33" fillId="3" borderId="0" xfId="0" applyNumberFormat="1" applyFont="1" applyFill="1" applyBorder="1" applyAlignment="1">
      <x:alignment vertical="center" wrapText="1"/>
    </x:xf>
    <x:xf numFmtId="0" fontId="34" fillId="0" borderId="0" xfId="0" applyNumberFormat="1" applyFont="1" applyFill="1" applyBorder="1"/>
    <x:xf numFmtId="0" fontId="35" fillId="4" borderId="0" xfId="0" applyNumberFormat="1" applyFont="1" applyFill="1" applyBorder="1" applyAlignment="1">
      <x:alignment vertical="center"/>
    </x:xf>
    <x:xf numFmtId="0" fontId="36" fillId="5" borderId="0" xfId="0" applyNumberFormat="1" applyFont="1" applyFill="1" applyBorder="1" applyAlignment="1">
      <x:alignment horizontal="center" vertical="center"/>
    </x:xf>
    <x:xf numFmtId="0" fontId="37" fillId="0" borderId="0" xfId="0" applyNumberFormat="1" applyFont="1" applyFill="1" applyBorder="1" applyAlignment="1">
      <x:alignment vertical="center"/>
    </x:xf>
    <x:xf numFmtId="0" fontId="38" fillId="6" borderId="0" xfId="0" applyNumberFormat="1" applyFont="1" applyFill="1" applyBorder="1" applyAlignment="1">
      <x:alignment vertical="center" wrapText="1"/>
    </x:xf>
    <x:xf numFmtId="0" fontId="38" fillId="7" borderId="0" xfId="0" applyNumberFormat="1" applyFont="1" applyFill="1" applyBorder="1" applyAlignment="1">
      <x:alignment vertical="center" wrapText="1"/>
    </x:xf>
    <x:xf numFmtId="0" fontId="37" fillId="8" borderId="0" xfId="0" applyNumberFormat="1" applyFont="1" applyFill="1" applyBorder="1" applyAlignment="1">
      <x:alignment vertical="center"/>
    </x:xf>
    <x:xf numFmtId="0" fontId="39" fillId="0" borderId="0" xfId="0" applyNumberFormat="1" applyFont="1" applyFill="1" applyBorder="1" applyAlignment="1">
      <x:alignment vertical="center" wrapText="1"/>
    </x:xf>
    <x:xf numFmtId="0" fontId="38" fillId="0" borderId="0" xfId="0" applyNumberFormat="1" applyFont="1" applyFill="1" applyBorder="1" applyAlignment="1">
      <x:alignment vertical="center" wrapText="1"/>
    </x:xf>
    <x:xf numFmtId="0" fontId="40" fillId="0" borderId="0" xfId="0" applyNumberFormat="1" applyFont="1" applyFill="1" applyBorder="1" applyAlignment="1">
      <x:alignment vertical="center" wrapText="1"/>
    </x:xf>
    <x:xf numFmtId="0" fontId="32" fillId="2" borderId="0" xfId="0" applyNumberFormat="1" applyFont="1" applyFill="1" applyBorder="1" applyAlignment="1">
      <x:alignment vertical="center" wrapText="1"/>
    </x:xf>
    <x:xf numFmtId="0" fontId="39" fillId="9" borderId="0" xfId="0" applyNumberFormat="1" applyFont="1" applyFill="1" applyBorder="1" applyAlignment="1">
      <x:alignment vertical="center" wrapText="1"/>
    </x:xf>
    <x:xf numFmtId="0" fontId="38" fillId="9" borderId="7" xfId="0" applyNumberFormat="1" applyFont="1" applyFill="1" applyBorder="1" applyAlignment="1">
      <x:alignment vertical="center"/>
    </x:xf>
    <x:xf numFmtId="202" fontId="38" fillId="9" borderId="7" xfId="0" applyNumberFormat="1" applyFont="1" applyFill="1" applyBorder="1" applyAlignment="1">
      <x:alignment vertical="center"/>
    </x:xf>
    <x:xf numFmtId="201" fontId="38" fillId="9" borderId="7" xfId="0" applyNumberFormat="1" applyFont="1" applyFill="1" applyBorder="1" applyAlignment="1">
      <x:alignment vertical="center"/>
    </x:xf>
    <x:xf numFmtId="201" fontId="41" fillId="8" borderId="7" xfId="0" applyNumberFormat="1" applyFont="1" applyFill="1" applyBorder="1" applyAlignment="1">
      <x:alignment vertical="center"/>
    </x:xf>
    <x:xf numFmtId="0" fontId="37" fillId="8" borderId="7" xfId="0" applyNumberFormat="1" applyFont="1" applyFill="1" applyBorder="1" applyAlignment="1">
      <x:alignment vertical="center"/>
    </x:xf>
    <x:xf numFmtId="0" fontId="38" fillId="9" borderId="8" xfId="0" applyNumberFormat="1" applyFont="1" applyFill="1" applyBorder="1" applyAlignment="1">
      <x:alignment vertical="center"/>
    </x:xf>
    <x:xf numFmtId="202" fontId="38" fillId="9" borderId="8" xfId="0" applyNumberFormat="1" applyFont="1" applyFill="1" applyBorder="1" applyAlignment="1">
      <x:alignment vertical="center"/>
    </x:xf>
    <x:xf numFmtId="201" fontId="38" fillId="9" borderId="8" xfId="0" applyNumberFormat="1" applyFont="1" applyFill="1" applyBorder="1" applyAlignment="1">
      <x:alignment vertical="center"/>
    </x:xf>
    <x:xf numFmtId="201" fontId="41" fillId="8" borderId="8" xfId="0" applyNumberFormat="1" applyFont="1" applyFill="1" applyBorder="1" applyAlignment="1">
      <x:alignment vertical="center"/>
    </x:xf>
    <x:xf numFmtId="0" fontId="37" fillId="8" borderId="8" xfId="0" applyNumberFormat="1" applyFont="1" applyFill="1" applyBorder="1" applyAlignment="1">
      <x:alignment vertical="center"/>
    </x:xf>
    <x:xf numFmtId="0" fontId="42" fillId="4" borderId="9" xfId="0" applyNumberFormat="1" applyFont="1" applyFill="1" applyBorder="1" applyAlignment="1">
      <x:alignment horizontal="center" vertical="center" wrapText="1"/>
    </x:xf>
    <x:xf numFmtId="0" fontId="42" fillId="4" borderId="10" xfId="0" applyNumberFormat="1" applyFont="1" applyFill="1" applyBorder="1" applyAlignment="1">
      <x:alignment horizontal="center" vertical="center" wrapText="1"/>
    </x:xf>
    <x:xf numFmtId="0" fontId="38" fillId="7" borderId="11" xfId="0" applyNumberFormat="1" applyFont="1" applyFill="1" applyBorder="1" applyAlignment="1">
      <x:alignment vertical="center"/>
    </x:xf>
    <x:xf numFmtId="0" fontId="38" fillId="7" borderId="5" xfId="0" applyNumberFormat="1" applyFont="1" applyFill="1" applyBorder="1" applyAlignment="1">
      <x:alignment vertical="center"/>
    </x:xf>
    <x:xf numFmtId="0" fontId="38" fillId="7" borderId="12" xfId="0" applyNumberFormat="1" applyFont="1" applyFill="1" applyBorder="1" applyAlignment="1">
      <x:alignment vertical="center"/>
    </x:xf>
    <x:xf numFmtId="0" fontId="38" fillId="7" borderId="13" xfId="0" applyNumberFormat="1" applyFont="1" applyFill="1" applyBorder="1" applyAlignment="1">
      <x:alignment vertical="center"/>
    </x:xf>
    <x:xf numFmtId="0" fontId="42" fillId="4" borderId="1" xfId="0" applyNumberFormat="1" applyFont="1" applyFill="1" applyBorder="1" applyAlignment="1">
      <x:alignment horizontal="center" vertical="center" wrapText="1"/>
    </x:xf>
    <x:xf numFmtId="0" fontId="42" fillId="4" borderId="2" xfId="0" applyNumberFormat="1" applyFont="1" applyFill="1" applyBorder="1" applyAlignment="1">
      <x:alignment horizontal="center" vertical="center" wrapText="1"/>
    </x:xf>
    <x:xf numFmtId="0" fontId="42" fillId="4" borderId="3" xfId="0" applyNumberFormat="1" applyFont="1" applyFill="1" applyBorder="1" applyAlignment="1">
      <x:alignment horizontal="center" vertical="center" wrapText="1"/>
    </x:xf>
    <x:xf numFmtId="0" fontId="37" fillId="0" borderId="4" xfId="0" applyNumberFormat="1" applyFont="1" applyFill="1" applyBorder="1" applyAlignment="1">
      <x:alignment vertical="center" wrapText="1"/>
    </x:xf>
    <x:xf numFmtId="0" fontId="38" fillId="0" borderId="4" xfId="0" applyNumberFormat="1" applyFont="1" applyFill="1" applyBorder="1" applyAlignment="1">
      <x:alignment vertical="center" wrapText="1"/>
    </x:xf>
    <x:xf numFmtId="0" fontId="37" fillId="0" borderId="5" xfId="0" applyNumberFormat="1" applyFont="1" applyFill="1" applyBorder="1" applyAlignment="1">
      <x:alignment vertical="center" wrapText="1"/>
    </x:xf>
    <x:xf numFmtId="0" fontId="38" fillId="0" borderId="5" xfId="0" applyNumberFormat="1" applyFont="1" applyFill="1" applyBorder="1" applyAlignment="1">
      <x:alignment vertical="center" wrapText="1"/>
    </x:xf>
    <x:xf numFmtId="0" fontId="37" fillId="0" borderId="14" xfId="0" applyNumberFormat="1" applyFont="1" applyFill="1" applyBorder="1" applyAlignment="1">
      <x:alignment vertical="center" wrapText="1"/>
    </x:xf>
    <x:xf numFmtId="0" fontId="38" fillId="0" borderId="14" xfId="0" applyNumberFormat="1" applyFont="1" applyFill="1" applyBorder="1" applyAlignment="1">
      <x:alignment vertical="center" wrapText="1"/>
    </x:xf>
    <x:xf numFmtId="0" fontId="43" fillId="2" borderId="0" xfId="0" applyNumberFormat="1" applyFont="1" applyFill="1" applyBorder="1" applyAlignment="1">
      <x:alignment vertical="center" wrapText="1"/>
    </x:xf>
    <x:xf numFmtId="0" fontId="44" fillId="3" borderId="0" xfId="0" applyNumberFormat="1" applyFont="1" applyFill="1" applyBorder="1" applyAlignment="1">
      <x:alignment vertical="center" wrapText="1"/>
    </x:xf>
    <x:xf numFmtId="0" fontId="45" fillId="0" borderId="0" xfId="0" applyNumberFormat="1" applyFont="1" applyFill="1" applyBorder="1"/>
    <x:xf numFmtId="0" fontId="43" fillId="4" borderId="0" xfId="0" applyNumberFormat="1" applyFont="1" applyFill="1" applyBorder="1" applyAlignment="1">
      <x:alignment vertical="center"/>
    </x:xf>
    <x:xf numFmtId="0" fontId="43" fillId="5" borderId="0" xfId="0" applyNumberFormat="1" applyFont="1" applyFill="1" applyBorder="1" applyAlignment="1">
      <x:alignment horizontal="center" vertical="center"/>
    </x:xf>
    <x:xf numFmtId="0" fontId="43" fillId="0" borderId="0" xfId="0" applyNumberFormat="1" applyFont="1" applyFill="1" applyBorder="1" applyAlignment="1">
      <x:alignment vertical="center"/>
    </x:xf>
    <x:xf numFmtId="0" fontId="45" fillId="6" borderId="0" xfId="0" applyNumberFormat="1" applyFont="1" applyFill="1" applyBorder="1" applyAlignment="1">
      <x:alignment vertical="center" wrapText="1"/>
    </x:xf>
    <x:xf numFmtId="0" fontId="45" fillId="7" borderId="0" xfId="0" applyNumberFormat="1" applyFont="1" applyFill="1" applyBorder="1" applyAlignment="1">
      <x:alignment vertical="center" wrapText="1"/>
    </x:xf>
    <x:xf numFmtId="0" fontId="43" fillId="8" borderId="0" xfId="0" applyNumberFormat="1" applyFont="1" applyFill="1" applyBorder="1" applyAlignment="1">
      <x:alignment vertical="center"/>
    </x:xf>
    <x:xf numFmtId="0" fontId="43" fillId="0" borderId="0" xfId="0" applyNumberFormat="1" applyFont="1" applyFill="1" applyBorder="1" applyAlignment="1">
      <x:alignment vertical="center" wrapText="1"/>
    </x:xf>
    <x:xf numFmtId="0" fontId="45" fillId="0" borderId="0" xfId="0" applyNumberFormat="1" applyFont="1" applyFill="1" applyBorder="1" applyAlignment="1">
      <x:alignment vertical="center" wrapText="1"/>
    </x:xf>
    <x:xf numFmtId="0" fontId="43" fillId="11" borderId="0" xfId="0" applyNumberFormat="1" applyFont="1" applyFill="1" applyBorder="1" applyAlignment="1">
      <x:alignment vertical="center" wrapText="1"/>
    </x:xf>
    <x:xf numFmtId="0" fontId="44" fillId="0" borderId="0" xfId="0" applyNumberFormat="1" applyFont="1" applyFill="1" applyBorder="1" applyAlignment="1">
      <x:alignment vertical="center" wrapText="1"/>
    </x:xf>
    <x:xf numFmtId="0" fontId="43" fillId="17" borderId="0" xfId="0" applyNumberFormat="1" applyFont="1" applyFill="1" applyBorder="1" applyAlignment="1">
      <x:alignment vertical="center" wrapText="1"/>
    </x:xf>
    <x:xf numFmtId="0" fontId="46" fillId="17" borderId="0" xfId="0" applyNumberFormat="1" applyFont="1" applyFill="1" applyBorder="1" applyAlignment="1">
      <x:alignment vertical="center" wrapText="1"/>
    </x:xf>
    <x:xf numFmtId="0" fontId="44" fillId="18" borderId="0" xfId="0" applyNumberFormat="1" applyFont="1" applyFill="1" applyBorder="1" applyAlignment="1">
      <x:alignment vertical="center" wrapText="1"/>
    </x:xf>
    <x:xf numFmtId="0" fontId="43" fillId="19" borderId="0" xfId="0" applyNumberFormat="1" applyFont="1" applyFill="1" applyBorder="1" applyAlignment="1">
      <x:alignment vertical="center"/>
    </x:xf>
    <x:xf numFmtId="0" fontId="42" fillId="19" borderId="0" xfId="0" applyNumberFormat="1" applyFont="1" applyFill="1" applyBorder="1" applyAlignment="1">
      <x:alignment vertical="center"/>
    </x:xf>
    <x:xf numFmtId="0" fontId="43" fillId="19" borderId="0" xfId="0" applyNumberFormat="1" applyFont="1" applyFill="1" applyBorder="1" applyAlignment="1">
      <x:alignment vertical="center" wrapText="1"/>
    </x:xf>
    <x:xf numFmtId="0" fontId="45" fillId="19" borderId="0" xfId="0" applyNumberFormat="1" applyFont="1" applyFill="1" applyBorder="1" applyAlignment="1">
      <x:alignment vertical="center" wrapText="1"/>
    </x:xf>
    <x:xf numFmtId="0" fontId="42" fillId="19" borderId="0" xfId="0" applyNumberFormat="1" applyFont="1" applyFill="1" applyBorder="1" applyAlignment="1">
      <x:alignment vertical="center" wrapText="1"/>
    </x:xf>
    <x:xf numFmtId="0" fontId="43" fillId="20" borderId="0" xfId="0" applyNumberFormat="1" applyFont="1" applyFill="1" applyBorder="1" applyAlignment="1">
      <x:alignment horizontal="center" vertical="center"/>
    </x:xf>
    <x:xf numFmtId="0" fontId="45" fillId="20" borderId="0" xfId="0" applyNumberFormat="1" applyFont="1" applyFill="1" applyBorder="1"/>
    <x:xf numFmtId="0" fontId="43" fillId="20" borderId="0" xfId="0" applyNumberFormat="1" applyFont="1" applyFill="1" applyBorder="1" applyAlignment="1">
      <x:alignment vertical="center"/>
    </x:xf>
    <x:xf numFmtId="0" fontId="43" fillId="20" borderId="0" xfId="0" applyNumberFormat="1" applyFont="1" applyFill="1" applyBorder="1"/>
    <x:xf numFmtId="0" fontId="43" fillId="20" borderId="0" xfId="0" applyNumberFormat="1" applyFont="1" applyFill="1" applyBorder="1" applyAlignment="1">
      <x:alignment horizontal="center"/>
    </x:xf>
    <x:xf numFmtId="0" fontId="43" fillId="20" borderId="0" xfId="0" applyNumberFormat="1" applyFont="1" applyFill="1" applyBorder="1" applyAlignment="1">
      <x:alignment horizontal="center" vertical="center" wrapText="1"/>
    </x:xf>
    <x:xf numFmtId="0" fontId="43" fillId="20" borderId="0" xfId="0" applyNumberFormat="1" applyFont="1" applyFill="1" applyBorder="1" applyAlignment="1">
      <x:alignment horizontal="center" wrapText="1"/>
    </x:xf>
    <x:xf numFmtId="0" fontId="45" fillId="0" borderId="0" xfId="0" applyNumberFormat="1" applyFont="1" applyFill="1" applyBorder="1" applyAlignment="1">
      <x:alignment wrapText="1"/>
    </x:xf>
    <x:xf numFmtId="0" fontId="43" fillId="4" borderId="0" xfId="0" applyNumberFormat="1" applyFont="1" applyFill="1" applyBorder="1" applyAlignment="1">
      <x:alignment vertical="center" wrapText="1"/>
    </x:xf>
    <x:xf numFmtId="0" fontId="43" fillId="8" borderId="0" xfId="0" applyNumberFormat="1" applyFont="1" applyFill="1" applyBorder="1" applyAlignment="1">
      <x:alignment vertical="center" wrapText="1"/>
    </x:xf>
    <x:xf numFmtId="0" fontId="45" fillId="0" borderId="17" xfId="0" applyNumberFormat="1" applyFont="1" applyFill="1" applyBorder="1"/>
    <x:xf numFmtId="0" fontId="45" fillId="0" borderId="17" xfId="0" applyNumberFormat="1" applyFont="1" applyFill="1" applyBorder="1" applyAlignment="1">
      <x:alignment vertical="center"/>
    </x:xf>
    <x:xf numFmtId="0" fontId="45" fillId="20" borderId="17" xfId="0" applyNumberFormat="1" applyFont="1" applyFill="1" applyBorder="1" applyAlignment="1">
      <x:alignment vertical="center"/>
    </x:xf>
    <x:xf numFmtId="0" fontId="47" fillId="20" borderId="17" xfId="0" applyNumberFormat="1" applyFont="1" applyFill="1" applyBorder="1" applyAlignment="1">
      <x:alignment vertical="center"/>
    </x:xf>
    <x:xf numFmtId="0" fontId="43" fillId="8" borderId="4" xfId="0" applyNumberFormat="1" applyFont="1" applyFill="1" applyBorder="1" applyAlignment="1">
      <x:alignment horizontal="center" vertical="center"/>
    </x:xf>
    <x:xf numFmtId="0" fontId="45" fillId="0" borderId="4" xfId="0" applyNumberFormat="1" applyFont="1" applyFill="1" applyBorder="1" applyAlignment="1">
      <x:alignment vertical="center" wrapText="1"/>
    </x:xf>
    <x:xf numFmtId="0" fontId="43" fillId="8" borderId="5" xfId="0" applyNumberFormat="1" applyFont="1" applyFill="1" applyBorder="1" applyAlignment="1">
      <x:alignment horizontal="center" vertical="center"/>
    </x:xf>
    <x:xf numFmtId="0" fontId="45" fillId="0" borderId="5" xfId="0" applyNumberFormat="1" applyFont="1" applyFill="1" applyBorder="1" applyAlignment="1">
      <x:alignment vertical="center" wrapText="1"/>
    </x:xf>
    <x:xf numFmtId="0" fontId="43" fillId="8" borderId="17" xfId="0" applyNumberFormat="1" applyFont="1" applyFill="1" applyBorder="1" applyAlignment="1">
      <x:alignment horizontal="center" vertical="center"/>
    </x:xf>
    <x:xf numFmtId="0" fontId="45" fillId="0" borderId="17" xfId="0" applyNumberFormat="1" applyFont="1" applyFill="1" applyBorder="1" applyAlignment="1">
      <x:alignment vertical="center" wrapText="1"/>
    </x:xf>
    <x:xf numFmtId="0" fontId="43" fillId="8" borderId="17" xfId="0" applyNumberFormat="1" applyFont="1" applyFill="1" applyBorder="1" applyAlignment="1">
      <x:alignment horizontal="center" vertical="center" wrapText="1"/>
    </x:xf>
    <x:xf numFmtId="0" fontId="43" fillId="21" borderId="17" xfId="0" applyNumberFormat="1" applyFont="1" applyFill="1" applyBorder="1" applyAlignment="1">
      <x:alignment horizontal="center" vertical="center" wrapText="1"/>
    </x:xf>
    <x:xf numFmtId="0" fontId="45" fillId="21" borderId="17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42" fillId="19" borderId="0" xfId="0" applyNumberFormat="1" applyFont="1" applyFill="1" applyBorder="1"/>
    <x:xf numFmtId="0" fontId="42" fillId="19" borderId="17" xfId="0" applyNumberFormat="1" applyFont="1" applyFill="1" applyBorder="1"/>
    <x:xf numFmtId="0" fontId="42" fillId="19" borderId="17" xfId="0" applyNumberFormat="1" applyFont="1" applyFill="1" applyBorder="1" applyAlignment="1">
      <x:alignment wrapText="1"/>
    </x:xf>
    <x:xf numFmtId="0" fontId="42" fillId="19" borderId="17" xfId="0" applyNumberFormat="1" applyFont="1" applyFill="1" applyBorder="1" applyAlignment="1">
      <x:alignment horizontal="center" wrapText="1"/>
    </x:xf>
    <x:xf numFmtId="0" fontId="42" fillId="19" borderId="17" xfId="0" applyNumberFormat="1" applyFont="1" applyFill="1" applyBorder="1" applyAlignment="1">
      <x:alignment horizontal="center" vertical="center" wrapText="1"/>
    </x:xf>
    <x:xf numFmtId="0" fontId="45" fillId="22" borderId="17" xfId="0" applyNumberFormat="1" applyFont="1" applyFill="1" applyBorder="1" applyAlignment="1">
      <x:alignment vertical="center" wrapText="1"/>
    </x:xf>
    <x:xf numFmtId="0" fontId="43" fillId="4" borderId="1" xfId="0" applyNumberFormat="1" applyFont="1" applyFill="1" applyBorder="1" applyAlignment="1">
      <x:alignment horizontal="center" vertical="center" wrapText="1"/>
    </x:xf>
    <x:xf numFmtId="0" fontId="43" fillId="4" borderId="2" xfId="0" applyNumberFormat="1" applyFont="1" applyFill="1" applyBorder="1" applyAlignment="1">
      <x:alignment horizontal="center" vertical="center" wrapText="1"/>
    </x:xf>
    <x:xf numFmtId="0" fontId="43" fillId="4" borderId="3" xfId="0" applyNumberFormat="1" applyFont="1" applyFill="1" applyBorder="1" applyAlignment="1">
      <x:alignment horizontal="center" vertical="center" wrapText="1"/>
    </x:xf>
    <x:xf numFmtId="0" fontId="43" fillId="0" borderId="4" xfId="0" applyNumberFormat="1" applyFont="1" applyFill="1" applyBorder="1" applyAlignment="1">
      <x:alignment vertical="center"/>
    </x:xf>
    <x:xf numFmtId="0" fontId="45" fillId="9" borderId="4" xfId="0" applyNumberFormat="1" applyFont="1" applyFill="1" applyBorder="1" applyAlignment="1">
      <x:alignment vertical="center"/>
    </x:xf>
    <x:xf numFmtId="0" fontId="43" fillId="0" borderId="5" xfId="0" applyNumberFormat="1" applyFont="1" applyFill="1" applyBorder="1" applyAlignment="1">
      <x:alignment vertical="center"/>
    </x:xf>
    <x:xf numFmtId="0" fontId="45" fillId="9" borderId="5" xfId="0" applyNumberFormat="1" applyFont="1" applyFill="1" applyBorder="1" applyAlignment="1">
      <x:alignment vertical="center"/>
    </x:xf>
    <x:xf numFmtId="200" fontId="45" fillId="9" borderId="5" xfId="0" applyNumberFormat="1" applyFont="1" applyFill="1" applyBorder="1" applyAlignment="1">
      <x:alignment vertical="center"/>
    </x:xf>
    <x:xf numFmtId="0" fontId="43" fillId="9" borderId="0" xfId="0" applyNumberFormat="1" applyFont="1" applyFill="1" applyBorder="1" applyAlignment="1">
      <x:alignment vertical="center" wrapText="1"/>
    </x:xf>
    <x:xf numFmtId="0" fontId="43" fillId="4" borderId="15" xfId="0" applyNumberFormat="1" applyFont="1" applyFill="1" applyBorder="1" applyAlignment="1">
      <x:alignment horizontal="center" vertical="center" wrapText="1"/>
    </x:xf>
    <x:xf numFmtId="0" fontId="43" fillId="19" borderId="17" xfId="0" applyNumberFormat="1" applyFont="1" applyFill="1" applyBorder="1" applyAlignment="1">
      <x:alignment horizontal="center" vertical="center" wrapText="1"/>
    </x:xf>
    <x:xf numFmtId="0" fontId="45" fillId="11" borderId="16" xfId="0" applyNumberFormat="1" applyFont="1" applyFill="1" applyBorder="1" applyAlignment="1">
      <x:alignment vertical="center" wrapText="1"/>
    </x:xf>
    <x:xf numFmtId="202" fontId="45" fillId="11" borderId="16" xfId="0" applyNumberFormat="1" applyFont="1" applyFill="1" applyBorder="1" applyAlignment="1">
      <x:alignment vertical="center" wrapText="1"/>
    </x:xf>
    <x:xf numFmtId="203" fontId="45" fillId="11" borderId="16" xfId="0" applyNumberFormat="1" applyFont="1" applyFill="1" applyBorder="1" applyAlignment="1">
      <x:alignment vertical="center" wrapText="1"/>
    </x:xf>
    <x:xf numFmtId="203" fontId="45" fillId="13" borderId="16" xfId="0" applyNumberFormat="1" applyFont="1" applyFill="1" applyBorder="1" applyAlignment="1">
      <x:alignment vertical="center" wrapText="1"/>
    </x:xf>
    <x:xf numFmtId="0" fontId="43" fillId="13" borderId="16" xfId="0" applyNumberFormat="1" applyFont="1" applyFill="1" applyBorder="1" applyAlignment="1">
      <x:alignment vertical="center" wrapText="1"/>
    </x:xf>
    <x:xf numFmtId="204" fontId="45" fillId="11" borderId="16" xfId="0" applyNumberFormat="1" applyFont="1" applyFill="1" applyBorder="1" applyAlignment="1">
      <x:alignment vertical="center" wrapText="1"/>
    </x:xf>
    <x:xf numFmtId="0" fontId="45" fillId="9" borderId="7" xfId="0" applyNumberFormat="1" applyFont="1" applyFill="1" applyBorder="1" applyAlignment="1">
      <x:alignment vertical="center"/>
    </x:xf>
    <x:xf numFmtId="202" fontId="45" fillId="9" borderId="7" xfId="0" applyNumberFormat="1" applyFont="1" applyFill="1" applyBorder="1" applyAlignment="1">
      <x:alignment vertical="center"/>
    </x:xf>
    <x:xf numFmtId="201" fontId="45" fillId="9" borderId="7" xfId="0" applyNumberFormat="1" applyFont="1" applyFill="1" applyBorder="1" applyAlignment="1">
      <x:alignment vertical="center"/>
    </x:xf>
    <x:xf numFmtId="201" fontId="45" fillId="8" borderId="7" xfId="0" applyNumberFormat="1" applyFont="1" applyFill="1" applyBorder="1" applyAlignment="1">
      <x:alignment vertical="center"/>
    </x:xf>
    <x:xf numFmtId="0" fontId="43" fillId="8" borderId="7" xfId="0" applyNumberFormat="1" applyFont="1" applyFill="1" applyBorder="1" applyAlignment="1">
      <x:alignment vertical="center"/>
    </x:xf>
    <x:xf numFmtId="0" fontId="45" fillId="9" borderId="8" xfId="0" applyNumberFormat="1" applyFont="1" applyFill="1" applyBorder="1" applyAlignment="1">
      <x:alignment vertical="center"/>
    </x:xf>
    <x:xf numFmtId="202" fontId="45" fillId="9" borderId="8" xfId="0" applyNumberFormat="1" applyFont="1" applyFill="1" applyBorder="1" applyAlignment="1">
      <x:alignment vertical="center"/>
    </x:xf>
    <x:xf numFmtId="201" fontId="45" fillId="9" borderId="8" xfId="0" applyNumberFormat="1" applyFont="1" applyFill="1" applyBorder="1" applyAlignment="1">
      <x:alignment vertical="center"/>
    </x:xf>
    <x:xf numFmtId="201" fontId="45" fillId="8" borderId="8" xfId="0" applyNumberFormat="1" applyFont="1" applyFill="1" applyBorder="1" applyAlignment="1">
      <x:alignment vertical="center"/>
    </x:xf>
    <x:xf numFmtId="0" fontId="43" fillId="8" borderId="8" xfId="0" applyNumberFormat="1" applyFont="1" applyFill="1" applyBorder="1" applyAlignment="1">
      <x:alignment vertical="center"/>
    </x:xf>
    <x:xf numFmtId="0" fontId="43" fillId="4" borderId="9" xfId="0" applyNumberFormat="1" applyFont="1" applyFill="1" applyBorder="1" applyAlignment="1">
      <x:alignment horizontal="center" vertical="center" wrapText="1"/>
    </x:xf>
    <x:xf numFmtId="0" fontId="43" fillId="4" borderId="10" xfId="0" applyNumberFormat="1" applyFont="1" applyFill="1" applyBorder="1" applyAlignment="1">
      <x:alignment horizontal="center" vertical="center" wrapText="1"/>
    </x:xf>
    <x:xf numFmtId="0" fontId="45" fillId="7" borderId="11" xfId="0" applyNumberFormat="1" applyFont="1" applyFill="1" applyBorder="1" applyAlignment="1">
      <x:alignment vertical="center"/>
    </x:xf>
    <x:xf numFmtId="0" fontId="45" fillId="7" borderId="5" xfId="0" applyNumberFormat="1" applyFont="1" applyFill="1" applyBorder="1" applyAlignment="1">
      <x:alignment vertical="center"/>
    </x:xf>
    <x:xf numFmtId="0" fontId="45" fillId="15" borderId="16" xfId="0" applyNumberFormat="1" applyFont="1" applyFill="1" applyBorder="1" applyAlignment="1">
      <x:alignment vertical="center" wrapText="1"/>
    </x:xf>
    <x:xf numFmtId="0" fontId="45" fillId="7" borderId="12" xfId="0" applyNumberFormat="1" applyFont="1" applyFill="1" applyBorder="1" applyAlignment="1">
      <x:alignment vertical="center"/>
    </x:xf>
    <x:xf numFmtId="0" fontId="45" fillId="7" borderId="13" xfId="0" applyNumberFormat="1" applyFont="1" applyFill="1" applyBorder="1" applyAlignment="1">
      <x:alignment vertical="center"/>
    </x:xf>
    <x:xf numFmtId="0" fontId="43" fillId="0" borderId="4" xfId="0" applyNumberFormat="1" applyFont="1" applyFill="1" applyBorder="1" applyAlignment="1">
      <x:alignment vertical="center" wrapText="1"/>
    </x:xf>
    <x:xf numFmtId="0" fontId="43" fillId="0" borderId="5" xfId="0" applyNumberFormat="1" applyFont="1" applyFill="1" applyBorder="1" applyAlignment="1">
      <x:alignment vertical="center" wrapText="1"/>
    </x:xf>
    <x:xf numFmtId="0" fontId="43" fillId="0" borderId="14" xfId="0" applyNumberFormat="1" applyFont="1" applyFill="1" applyBorder="1" applyAlignment="1">
      <x:alignment vertical="center" wrapText="1"/>
    </x:xf>
    <x:xf numFmtId="0" fontId="45" fillId="0" borderId="14" xfId="0" applyNumberFormat="1" applyFont="1" applyFill="1" applyBorder="1" applyAlignment="1">
      <x:alignment vertical="center" wrapText="1"/>
    </x:xf>
    <x:xf numFmtId="0" fontId="45" fillId="6" borderId="16" xfId="0" applyNumberFormat="1" applyFont="1" applyFill="1" applyBorder="1" applyAlignment="1">
      <x:alignment vertical="center" wrapText="1"/>
    </x:xf>
    <x:xf numFmtId="0" fontId="45" fillId="13" borderId="16" xfId="0" applyNumberFormat="1" applyFont="1" applyFill="1" applyBorder="1" applyAlignment="1">
      <x:alignment vertical="center" wrapText="1"/>
    </x:xf>
    <x:xf numFmtId="0" fontId="43" fillId="2" borderId="0" xfId="0" applyNumberFormat="1" applyFont="1" applyFill="1" applyBorder="1" applyAlignment="1">
      <x:alignment vertical="center"/>
    </x:xf>
    <x:xf numFmtId="0" fontId="44" fillId="14" borderId="0" xfId="0" applyNumberFormat="1" applyFont="1" applyFill="1" applyBorder="1" applyAlignment="1">
      <x:alignment vertical="center"/>
    </x:xf>
    <x:xf numFmtId="0" fontId="46" fillId="2" borderId="0" xfId="0" applyNumberFormat="1" applyFont="1" applyFill="1" applyBorder="1" applyAlignment="1">
      <x:alignment vertical="center" wrapText="1"/>
    </x:xf>
    <x:xf numFmtId="0" fontId="43" fillId="19" borderId="15" xfId="0" applyNumberFormat="1" applyFont="1" applyFill="1" applyBorder="1" applyAlignment="1">
      <x:alignment horizontal="center" vertical="center" wrapText="1"/>
    </x:xf>
    <x:xf numFmtId="0" fontId="42" fillId="19" borderId="15" xfId="0" applyNumberFormat="1" applyFont="1" applyFill="1" applyBorder="1" applyAlignment="1">
      <x:alignment horizontal="center" vertical="center" wrapText="1"/>
    </x:xf>
    <x:xf numFmtId="0" fontId="43" fillId="11" borderId="0" xfId="0" applyNumberFormat="1" applyFont="1" applyFill="1" applyBorder="1" applyAlignment="1">
      <x:alignment horizontal="center" vertical="center" wrapText="1"/>
    </x:xf>
    <x:xf numFmtId="0" fontId="43" fillId="23" borderId="0" xfId="0" applyNumberFormat="1" applyFont="1" applyFill="1" applyBorder="1" applyAlignment="1">
      <x:alignment vertical="center" wrapText="1"/>
    </x:xf>
    <x:xf numFmtId="0" fontId="46" fillId="23" borderId="0" xfId="0" applyNumberFormat="1" applyFont="1" applyFill="1" applyBorder="1" applyAlignment="1">
      <x:alignment vertical="center" wrapText="1"/>
    </x:xf>
    <x:xf numFmtId="0" fontId="44" fillId="24" borderId="0" xfId="0" applyNumberFormat="1" applyFont="1" applyFill="1" applyBorder="1" applyAlignment="1">
      <x:alignment vertical="center" wrapText="1"/>
    </x:xf>
    <x:xf numFmtId="0" fontId="43" fillId="25" borderId="0" xfId="0" applyNumberFormat="1" applyFont="1" applyFill="1" applyBorder="1" applyAlignment="1">
      <x:alignment vertical="center"/>
    </x:xf>
    <x:xf numFmtId="0" fontId="42" fillId="25" borderId="0" xfId="0" applyNumberFormat="1" applyFont="1" applyFill="1" applyBorder="1" applyAlignment="1">
      <x:alignment vertical="center"/>
    </x:xf>
    <x:xf numFmtId="0" fontId="43" fillId="25" borderId="0" xfId="0" applyNumberFormat="1" applyFont="1" applyFill="1" applyBorder="1" applyAlignment="1">
      <x:alignment vertical="center" wrapText="1"/>
    </x:xf>
    <x:xf numFmtId="0" fontId="42" fillId="25" borderId="0" xfId="0" applyNumberFormat="1" applyFont="1" applyFill="1" applyBorder="1" applyAlignment="1">
      <x:alignment vertical="center" wrapText="1"/>
    </x:xf>
    <x:xf numFmtId="0" fontId="43" fillId="26" borderId="0" xfId="0" applyNumberFormat="1" applyFont="1" applyFill="1" applyBorder="1" applyAlignment="1">
      <x:alignment horizontal="center" vertical="center" wrapText="1"/>
    </x:xf>
    <x:xf numFmtId="0" fontId="45" fillId="11" borderId="17" xfId="0" applyNumberFormat="1" applyFont="1" applyFill="1" applyBorder="1" applyAlignment="1">
      <x:alignment vertical="center"/>
    </x:xf>
    <x:xf numFmtId="0" fontId="45" fillId="26" borderId="17" xfId="0" applyNumberFormat="1" applyFont="1" applyFill="1" applyBorder="1" applyAlignment="1">
      <x:alignment vertical="center"/>
    </x:xf>
    <x:xf numFmtId="0" fontId="47" fillId="26" borderId="17" xfId="0" applyNumberFormat="1" applyFont="1" applyFill="1" applyBorder="1" applyAlignment="1">
      <x:alignment vertical="center"/>
    </x:xf>
    <x:xf numFmtId="0" fontId="43" fillId="27" borderId="17" xfId="0" applyNumberFormat="1" applyFont="1" applyFill="1" applyBorder="1" applyAlignment="1">
      <x:alignment horizontal="center" vertical="center" wrapText="1"/>
    </x:xf>
    <x:xf numFmtId="0" fontId="45" fillId="27" borderId="17" xfId="0" applyNumberFormat="1" applyFont="1" applyFill="1" applyBorder="1" applyAlignment="1">
      <x:alignment vertical="center" wrapText="1"/>
    </x:xf>
    <x:xf numFmtId="0" fontId="42" fillId="25" borderId="17" xfId="0" applyNumberFormat="1" applyFont="1" applyFill="1" applyBorder="1" applyAlignment="1">
      <x:alignment horizontal="center" vertical="center" wrapText="1"/>
    </x:xf>
    <x:xf numFmtId="0" fontId="45" fillId="6" borderId="17" xfId="0" applyNumberFormat="1" applyFont="1" applyFill="1" applyBorder="1" applyAlignment="1">
      <x:alignment vertical="center" wrapText="1"/>
    </x:xf>
    <x:xf numFmtId="0" fontId="45" fillId="28" borderId="17" xfId="0" applyNumberFormat="1" applyFont="1" applyFill="1" applyBorder="1" applyAlignment="1">
      <x:alignment vertical="center" wrapText="1"/>
    </x:xf>
    <x:xf numFmtId="0" fontId="43" fillId="4" borderId="17" xfId="0" applyNumberFormat="1" applyFont="1" applyFill="1" applyBorder="1" applyAlignment="1">
      <x:alignment horizontal="center" vertical="center" wrapText="1"/>
    </x:xf>
    <x:xf numFmtId="0" fontId="43" fillId="25" borderId="17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46" fillId="29" borderId="0" xfId="0" applyNumberFormat="1" applyFont="1" applyFill="1" applyBorder="1"/>
    <x:xf numFmtId="0" fontId="46" fillId="29" borderId="0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44" fillId="30" borderId="0" xfId="0" applyNumberFormat="1" applyFont="1" applyFill="1" applyBorder="1"/>
    <x:xf numFmtId="0" fontId="44" fillId="30" borderId="0" xfId="0" applyNumberFormat="1" applyFont="1" applyFill="1" applyBorder="1" applyAlignment="1">
      <x:alignment wrapText="1"/>
    </x:xf>
    <x:xf numFmtId="0" fontId="44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42" fillId="31" borderId="0" xfId="0" applyNumberFormat="1" applyFont="1" applyFill="1" applyBorder="1"/>
    <x:xf numFmtId="0" fontId="42" fillId="31" borderId="0" xfId="0" applyNumberFormat="1" applyFont="1" applyFill="1" applyBorder="1" applyAlignment="1">
      <x:alignment vertical="center"/>
    </x:xf>
    <x:xf numFmtId="0" fontId="45" fillId="32" borderId="17" xfId="0" applyNumberFormat="1" applyFont="1" applyFill="1" applyBorder="1" applyAlignment="1">
      <x:alignment vertical="center"/>
    </x:xf>
    <x:xf numFmtId="0" fontId="43" fillId="32" borderId="17" xfId="0" applyNumberFormat="1" applyFont="1" applyFill="1" applyBorder="1" applyAlignment="1">
      <x:alignment vertical="center"/>
    </x:xf>
    <x:xf numFmtId="0" fontId="43" fillId="32" borderId="1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47" fillId="32" borderId="17" xfId="0" applyNumberFormat="1" applyFont="1" applyFill="1" applyBorder="1" applyAlignment="1">
      <x:alignment vertical="center"/>
    </x:xf>
    <x:xf numFmtId="0" fontId="43" fillId="33" borderId="17" xfId="0" applyNumberFormat="1" applyFont="1" applyFill="1" applyBorder="1" applyAlignment="1">
      <x:alignment horizontal="center" vertical="center" wrapText="1"/>
    </x:xf>
    <x:xf numFmtId="0" fontId="45" fillId="33" borderId="17" xfId="0" applyNumberFormat="1" applyFont="1" applyFill="1" applyBorder="1" applyAlignment="1">
      <x:alignment vertical="center" wrapText="1"/>
    </x:xf>
    <x:xf numFmtId="0" fontId="42" fillId="31" borderId="17" xfId="0" applyNumberFormat="1" applyFont="1" applyFill="1" applyBorder="1" applyAlignment="1">
      <x:alignment horizontal="center" vertical="center" wrapText="1"/>
    </x:xf>
    <x:xf numFmtId="0" fontId="45" fillId="34" borderId="17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46" fillId="35" borderId="0" xfId="0" applyNumberFormat="1" applyFont="1" applyFill="1" applyBorder="1"/>
    <x:xf numFmtId="0" fontId="46" fillId="35" borderId="0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/>
    <x:xf numFmtId="0" fontId="44" fillId="36" borderId="0" xfId="0" applyNumberFormat="1" applyFont="1" applyFill="1" applyBorder="1"/>
    <x:xf numFmtId="0" fontId="44" fillId="36" borderId="0" xfId="0" applyNumberFormat="1" applyFont="1" applyFill="1" applyBorder="1" applyAlignment="1">
      <x:alignment wrapText="1"/>
    </x:xf>
    <x:xf numFmtId="0" fontId="44" fillId="36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/>
    <x:xf numFmtId="0" fontId="42" fillId="37" borderId="0" xfId="0" applyNumberFormat="1" applyFont="1" applyFill="1" applyBorder="1"/>
    <x:xf numFmtId="0" fontId="42" fillId="37" borderId="0" xfId="0" applyNumberFormat="1" applyFont="1" applyFill="1" applyBorder="1" applyAlignment="1">
      <x:alignment vertical="center"/>
    </x:xf>
    <x:xf numFmtId="0" fontId="45" fillId="38" borderId="17" xfId="0" applyNumberFormat="1" applyFont="1" applyFill="1" applyBorder="1" applyAlignment="1">
      <x:alignment vertical="center"/>
    </x:xf>
    <x:xf numFmtId="0" fontId="43" fillId="38" borderId="17" xfId="0" applyNumberFormat="1" applyFont="1" applyFill="1" applyBorder="1" applyAlignment="1">
      <x:alignment vertical="center"/>
    </x:xf>
    <x:xf numFmtId="0" fontId="43" fillId="38" borderId="17" xfId="0" applyNumberFormat="1" applyFont="1" applyFill="1" applyBorder="1" applyAlignment="1">
      <x:alignment horizontal="center" vertical="center"/>
    </x:xf>
    <x:xf numFmtId="0" fontId="47" fillId="38" borderId="17" xfId="0" applyNumberFormat="1" applyFont="1" applyFill="1" applyBorder="1" applyAlignment="1">
      <x:alignment vertical="center"/>
    </x:xf>
    <x:xf numFmtId="0" fontId="43" fillId="39" borderId="17" xfId="0" applyNumberFormat="1" applyFont="1" applyFill="1" applyBorder="1" applyAlignment="1">
      <x:alignment horizontal="center" vertical="center" wrapText="1"/>
    </x:xf>
    <x:xf numFmtId="0" fontId="45" fillId="39" borderId="17" xfId="0" applyNumberFormat="1" applyFont="1" applyFill="1" applyBorder="1" applyAlignment="1">
      <x:alignment vertical="center" wrapText="1"/>
    </x:xf>
    <x:xf numFmtId="0" fontId="42" fillId="37" borderId="17" xfId="0" applyNumberFormat="1" applyFont="1" applyFill="1" applyBorder="1" applyAlignment="1">
      <x:alignment horizontal="center" vertical="center" wrapText="1"/>
    </x:xf>
    <x:xf numFmtId="0" fontId="45" fillId="40" borderId="17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/>
    <x:xf numFmtId="0" fontId="0" fillId="4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2" fillId="42" borderId="17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3" fillId="42" borderId="0" xfId="0" applyNumberFormat="1" applyFont="1" applyFill="1" applyBorder="1"/>
    <x:xf numFmtId="0" fontId="3" fillId="42" borderId="0" xfId="0" applyNumberFormat="1" applyFont="1" applyFill="1" applyBorder="1" applyAlignment="1">
      <x:alignment wrapText="1"/>
    </x:xf>
    <x:xf numFmtId="0" fontId="3" fillId="42" borderId="0" xfId="0" applyNumberFormat="1" applyFont="1" applyFill="1" applyBorder="1" applyAlignment="1">
      <x:alignment horizontal="center" wrapText="1"/>
    </x:xf>
    <x:xf numFmtId="0" fontId="3" fillId="42" borderId="0" xfId="0" applyNumberFormat="1" applyFont="1" applyFill="1" applyBorder="1" applyAlignment="1">
      <x:alignment horizontal="center" vertical="center" wrapText="1"/>
    </x:xf>
    <x:xf numFmtId="203" fontId="45" fillId="43" borderId="16" xfId="0" applyNumberFormat="1" applyFont="1" applyFill="1" applyBorder="1" applyAlignment="1">
      <x:alignment vertical="center" wrapText="1"/>
    </x:xf>
    <x:xf numFmtId="0" fontId="43" fillId="44" borderId="16" xfId="0" applyNumberFormat="1" applyFont="1" applyFill="1" applyBorder="1" applyAlignment="1">
      <x:alignment vertical="center" wrapText="1"/>
    </x:xf>
    <x:xf numFmtId="0" fontId="43" fillId="45" borderId="4" xfId="0" applyNumberFormat="1" applyFont="1" applyFill="1" applyBorder="1" applyAlignment="1">
      <x:alignment vertical="center"/>
    </x:xf>
    <x:xf numFmtId="0" fontId="45" fillId="45" borderId="4" xfId="0" applyNumberFormat="1" applyFont="1" applyFill="1" applyBorder="1" applyAlignment="1">
      <x:alignment vertical="center"/>
    </x:xf>
    <x:xf numFmtId="0" fontId="43" fillId="45" borderId="5" xfId="0" applyNumberFormat="1" applyFont="1" applyFill="1" applyBorder="1" applyAlignment="1">
      <x:alignment vertical="center"/>
    </x:xf>
    <x:xf numFmtId="0" fontId="45" fillId="45" borderId="5" xfId="0" applyNumberFormat="1" applyFont="1" applyFill="1" applyBorder="1" applyAlignment="1">
      <x:alignment vertical="center"/>
    </x:xf>
    <x:xf numFmtId="200" fontId="45" fillId="45" borderId="5" xfId="0" applyNumberFormat="1" applyFont="1" applyFill="1" applyBorder="1" applyAlignment="1">
      <x:alignment vertical="center"/>
    </x:xf>
    <x:xf numFmtId="0" fontId="45" fillId="45" borderId="17" xfId="0" applyNumberFormat="1" applyFont="1" applyFill="1" applyBorder="1" applyAlignment="1">
      <x:alignment vertical="center"/>
    </x:xf>
    <x:xf numFmtId="0" fontId="47" fillId="45" borderId="17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 applyAlignment="1">
      <x:alignment wrapText="1"/>
    </x:xf>
    <x:xf numFmtId="0" fontId="43" fillId="45" borderId="4" xfId="0" applyNumberFormat="1" applyFont="1" applyFill="1" applyBorder="1" applyAlignment="1">
      <x:alignment vertical="center" wrapText="1"/>
    </x:xf>
    <x:xf numFmtId="0" fontId="45" fillId="45" borderId="4" xfId="0" applyNumberFormat="1" applyFont="1" applyFill="1" applyBorder="1" applyAlignment="1">
      <x:alignment vertical="center" wrapText="1"/>
    </x:xf>
    <x:xf numFmtId="0" fontId="43" fillId="45" borderId="5" xfId="0" applyNumberFormat="1" applyFont="1" applyFill="1" applyBorder="1" applyAlignment="1">
      <x:alignment vertical="center" wrapText="1"/>
    </x:xf>
    <x:xf numFmtId="0" fontId="45" fillId="45" borderId="5" xfId="0" applyNumberFormat="1" applyFont="1" applyFill="1" applyBorder="1" applyAlignment="1">
      <x:alignment vertical="center" wrapText="1"/>
    </x:xf>
    <x:xf numFmtId="200" fontId="45" fillId="45" borderId="5" xfId="0" applyNumberFormat="1" applyFont="1" applyFill="1" applyBorder="1" applyAlignment="1">
      <x:alignment vertical="center" wrapText="1"/>
    </x:xf>
    <x:xf numFmtId="0" fontId="45" fillId="45" borderId="17" xfId="0" applyNumberFormat="1" applyFont="1" applyFill="1" applyBorder="1" applyAlignment="1">
      <x:alignment vertical="center" wrapText="1"/>
    </x:xf>
    <x:xf numFmtId="0" fontId="47" fillId="45" borderId="17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/>
    <x:xf numFmtId="0" fontId="48" fillId="46" borderId="0" xfId="0" applyNumberFormat="1" applyFont="1" applyFill="1" applyBorder="1"/>
    <x:xf numFmtId="0" fontId="48" fillId="46" borderId="0" xfId="0" applyNumberFormat="1" applyFont="1" applyFill="1" applyBorder="1" applyAlignment="1">
      <x:alignment vertical="center"/>
    </x:xf>
    <x:xf numFmtId="0" fontId="0" fillId="47" borderId="0" xfId="0" applyNumberFormat="1" applyFont="1" applyFill="1" applyBorder="1"/>
    <x:xf numFmtId="0" fontId="49" fillId="47" borderId="0" xfId="0" applyNumberFormat="1" applyFont="1" applyFill="1" applyBorder="1"/>
    <x:xf numFmtId="0" fontId="49" fillId="47" borderId="0" xfId="0" applyNumberFormat="1" applyFont="1" applyFill="1" applyBorder="1" applyAlignment="1">
      <x:alignment wrapText="1"/>
    </x:xf>
    <x:xf numFmtId="0" fontId="49" fillId="47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/>
    <x:xf numFmtId="0" fontId="3" fillId="48" borderId="0" xfId="0" applyNumberFormat="1" applyFont="1" applyFill="1" applyBorder="1"/>
    <x:xf numFmtId="0" fontId="3" fillId="48" borderId="0" xfId="0" applyNumberFormat="1" applyFont="1" applyFill="1" applyBorder="1" applyAlignment="1">
      <x:alignment wrapText="1"/>
    </x:xf>
    <x:xf numFmtId="0" fontId="3" fillId="48" borderId="0" xfId="0" applyNumberFormat="1" applyFont="1" applyFill="1" applyBorder="1" applyAlignment="1">
      <x:alignment horizontal="center" wrapText="1"/>
    </x:xf>
    <x:xf numFmtId="0" fontId="3" fillId="48" borderId="0" xfId="0" applyNumberFormat="1" applyFont="1" applyFill="1" applyBorder="1" applyAlignment="1">
      <x:alignment horizontal="center" vertical="center" wrapText="1"/>
    </x:xf>
    <x:xf numFmtId="0" fontId="48" fillId="46" borderId="0" xfId="0" applyNumberFormat="1" applyFont="1" applyFill="1" applyBorder="1" applyAlignment="1">
      <x:alignment vertical="top"/>
    </x:xf>
    <x:xf numFmtId="0" fontId="49" fillId="4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8" borderId="0" xfId="0" applyNumberFormat="1" applyFont="1" applyFill="1" applyBorder="1" applyAlignment="1">
      <x:alignment horizontal="center" vertical="top" wrapText="1"/>
    </x:xf>
    <x:xf numFmtId="0" fontId="48" fillId="4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0" fontId="0" fillId="49" borderId="0" xfId="0" applyNumberFormat="1" applyFont="1" applyFill="1" applyBorder="1" applyAlignment="1">
      <x:alignment vertical="top" wrapText="1"/>
    </x:xf>
    <x:xf numFmtId="205" fontId="0" fillId="50" borderId="0" xfId="0" applyNumberFormat="1" applyFont="1" applyFill="1" applyBorder="1" applyAlignment="1">
      <x:alignment vertical="top" wrapText="1"/>
    </x:xf>
    <x:xf numFmtId="0" fontId="43" fillId="51" borderId="4" xfId="0" applyNumberFormat="1" applyFont="1" applyFill="1" applyBorder="1" applyAlignment="1">
      <x:alignment vertical="center" wrapText="1"/>
    </x:xf>
    <x:xf numFmtId="0" fontId="45" fillId="51" borderId="4" xfId="0" applyNumberFormat="1" applyFont="1" applyFill="1" applyBorder="1" applyAlignment="1">
      <x:alignment vertical="center" wrapText="1"/>
    </x:xf>
    <x:xf numFmtId="0" fontId="43" fillId="51" borderId="5" xfId="0" applyNumberFormat="1" applyFont="1" applyFill="1" applyBorder="1" applyAlignment="1">
      <x:alignment vertical="center" wrapText="1"/>
    </x:xf>
    <x:xf numFmtId="0" fontId="45" fillId="51" borderId="5" xfId="0" applyNumberFormat="1" applyFont="1" applyFill="1" applyBorder="1" applyAlignment="1">
      <x:alignment vertical="center" wrapText="1"/>
    </x:xf>
    <x:xf numFmtId="200" fontId="45" fillId="51" borderId="5" xfId="0" applyNumberFormat="1" applyFont="1" applyFill="1" applyBorder="1" applyAlignment="1">
      <x:alignment vertical="center" wrapText="1"/>
    </x:xf>
    <x:xf numFmtId="0" fontId="45" fillId="51" borderId="17" xfId="0" applyNumberFormat="1" applyFont="1" applyFill="1" applyBorder="1" applyAlignment="1">
      <x:alignment vertical="center" wrapText="1"/>
    </x:xf>
    <x:xf numFmtId="0" fontId="47" fillId="51" borderId="17" xfId="0" applyNumberFormat="1" applyFont="1" applyFill="1" applyBorder="1" applyAlignment="1">
      <x:alignment vertical="center" wrapText="1"/>
    </x:xf>
    <x:xf numFmtId="0" fontId="0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48" fillId="52" borderId="0" xfId="0" applyNumberFormat="1" applyFont="1" applyFill="1" applyBorder="1"/>
    <x:xf numFmtId="0" fontId="48" fillId="52" borderId="0" xfId="0" applyNumberFormat="1" applyFont="1" applyFill="1" applyBorder="1" applyAlignment="1">
      <x:alignment vertical="center"/>
    </x:xf>
    <x:xf numFmtId="0" fontId="0" fillId="53" borderId="0" xfId="0" applyNumberFormat="1" applyFont="1" applyFill="1" applyBorder="1"/>
    <x:xf numFmtId="0" fontId="49" fillId="53" borderId="0" xfId="0" applyNumberFormat="1" applyFont="1" applyFill="1" applyBorder="1"/>
    <x:xf numFmtId="0" fontId="49" fillId="53" borderId="0" xfId="0" applyNumberFormat="1" applyFont="1" applyFill="1" applyBorder="1" applyAlignment="1">
      <x:alignment wrapText="1"/>
    </x:xf>
    <x:xf numFmtId="0" fontId="49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" fillId="54" borderId="0" xfId="0" applyNumberFormat="1" applyFont="1" applyFill="1" applyBorder="1"/>
    <x:xf numFmtId="0" fontId="3" fillId="54" borderId="0" xfId="0" applyNumberFormat="1" applyFont="1" applyFill="1" applyBorder="1" applyAlignment="1">
      <x:alignment wrapText="1"/>
    </x:xf>
    <x:xf numFmtId="0" fontId="3" fillId="54" borderId="0" xfId="0" applyNumberFormat="1" applyFont="1" applyFill="1" applyBorder="1" applyAlignment="1">
      <x:alignment horizontal="center" wrapText="1"/>
    </x:xf>
    <x:xf numFmtId="0" fontId="3" fillId="54" borderId="0" xfId="0" applyNumberFormat="1" applyFont="1" applyFill="1" applyBorder="1" applyAlignment="1">
      <x:alignment horizontal="center" vertical="center" wrapText="1"/>
    </x:xf>
    <x:xf numFmtId="0" fontId="48" fillId="52" borderId="0" xfId="0" applyNumberFormat="1" applyFont="1" applyFill="1" applyBorder="1" applyAlignment="1">
      <x:alignment vertical="top"/>
    </x:xf>
    <x:xf numFmtId="0" fontId="49" fillId="53" borderId="0" xfId="0" applyNumberFormat="1" applyFont="1" applyFill="1" applyBorder="1" applyAlignment="1">
      <x:alignment vertical="top" wrapText="1"/>
    </x:xf>
    <x:xf numFmtId="0" fontId="3" fillId="54" borderId="0" xfId="0" applyNumberFormat="1" applyFont="1" applyFill="1" applyBorder="1" applyAlignment="1">
      <x:alignment horizontal="center" vertical="top" wrapText="1"/>
    </x:xf>
    <x:xf numFmtId="0" fontId="48" fillId="52" borderId="0" xfId="0" applyNumberFormat="1" applyFont="1" applyFill="1" applyBorder="1" applyAlignment="1">
      <x:alignment vertical="top" wrapText="1"/>
    </x:xf>
    <x:xf numFmtId="0" fontId="0" fillId="55" borderId="0" xfId="0" applyNumberFormat="1" applyFont="1" applyFill="1" applyBorder="1" applyAlignment="1">
      <x:alignment vertical="top" wrapText="1"/>
    </x:xf>
    <x:xf numFmtId="205" fontId="0" fillId="56" borderId="0" xfId="0" applyNumberFormat="1" applyFont="1" applyFill="1" applyBorder="1" applyAlignment="1">
      <x:alignment vertical="top" wrapText="1"/>
    </x:xf>
    <x:xf numFmtId="0" fontId="43" fillId="57" borderId="4" xfId="0" applyNumberFormat="1" applyFont="1" applyFill="1" applyBorder="1" applyAlignment="1">
      <x:alignment vertical="center" wrapText="1"/>
    </x:xf>
    <x:xf numFmtId="0" fontId="45" fillId="57" borderId="4" xfId="0" applyNumberFormat="1" applyFont="1" applyFill="1" applyBorder="1" applyAlignment="1">
      <x:alignment vertical="center" wrapText="1"/>
    </x:xf>
    <x:xf numFmtId="0" fontId="43" fillId="57" borderId="5" xfId="0" applyNumberFormat="1" applyFont="1" applyFill="1" applyBorder="1" applyAlignment="1">
      <x:alignment vertical="center" wrapText="1"/>
    </x:xf>
    <x:xf numFmtId="0" fontId="45" fillId="57" borderId="5" xfId="0" applyNumberFormat="1" applyFont="1" applyFill="1" applyBorder="1" applyAlignment="1">
      <x:alignment vertical="center" wrapText="1"/>
    </x:xf>
    <x:xf numFmtId="200" fontId="45" fillId="57" borderId="5" xfId="0" applyNumberFormat="1" applyFont="1" applyFill="1" applyBorder="1" applyAlignment="1">
      <x:alignment vertical="center" wrapText="1"/>
    </x:xf>
    <x:xf numFmtId="0" fontId="45" fillId="57" borderId="17" xfId="0" applyNumberFormat="1" applyFont="1" applyFill="1" applyBorder="1" applyAlignment="1">
      <x:alignment vertical="center" wrapText="1"/>
    </x:xf>
    <x:xf numFmtId="0" fontId="47" fillId="57" borderId="17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48" fillId="58" borderId="0" xfId="0" applyNumberFormat="1" applyFont="1" applyFill="1" applyBorder="1"/>
    <x:xf numFmtId="0" fontId="48" fillId="58" borderId="0" xfId="0" applyNumberFormat="1" applyFont="1" applyFill="1" applyBorder="1" applyAlignment="1">
      <x:alignment vertical="center"/>
    </x:xf>
    <x:xf numFmtId="0" fontId="0" fillId="59" borderId="0" xfId="0" applyNumberFormat="1" applyFont="1" applyFill="1" applyBorder="1"/>
    <x:xf numFmtId="0" fontId="49" fillId="59" borderId="0" xfId="0" applyNumberFormat="1" applyFont="1" applyFill="1" applyBorder="1"/>
    <x:xf numFmtId="0" fontId="49" fillId="59" borderId="0" xfId="0" applyNumberFormat="1" applyFont="1" applyFill="1" applyBorder="1" applyAlignment="1">
      <x:alignment wrapText="1"/>
    </x:xf>
    <x:xf numFmtId="0" fontId="49" fillId="59" borderId="0" xfId="0" applyNumberFormat="1" applyFont="1" applyFill="1" applyBorder="1" applyAlignment="1">
      <x:alignment vertical="center" wrapText="1"/>
    </x:xf>
    <x:xf numFmtId="0" fontId="0" fillId="60" borderId="0" xfId="0" applyNumberFormat="1" applyFont="1" applyFill="1" applyBorder="1"/>
    <x:xf numFmtId="0" fontId="3" fillId="60" borderId="0" xfId="0" applyNumberFormat="1" applyFont="1" applyFill="1" applyBorder="1"/>
    <x:xf numFmtId="0" fontId="3" fillId="60" borderId="0" xfId="0" applyNumberFormat="1" applyFont="1" applyFill="1" applyBorder="1" applyAlignment="1">
      <x:alignment wrapText="1"/>
    </x:xf>
    <x:xf numFmtId="0" fontId="3" fillId="60" borderId="0" xfId="0" applyNumberFormat="1" applyFont="1" applyFill="1" applyBorder="1" applyAlignment="1">
      <x:alignment horizontal="center" wrapText="1"/>
    </x:xf>
    <x:xf numFmtId="0" fontId="3" fillId="60" borderId="0" xfId="0" applyNumberFormat="1" applyFont="1" applyFill="1" applyBorder="1" applyAlignment="1">
      <x:alignment horizontal="center" vertical="center" wrapText="1"/>
    </x:xf>
    <x:xf numFmtId="0" fontId="48" fillId="58" borderId="0" xfId="0" applyNumberFormat="1" applyFont="1" applyFill="1" applyBorder="1" applyAlignment="1">
      <x:alignment vertical="top"/>
    </x:xf>
    <x:xf numFmtId="0" fontId="49" fillId="59" borderId="0" xfId="0" applyNumberFormat="1" applyFont="1" applyFill="1" applyBorder="1" applyAlignment="1">
      <x:alignment vertical="top" wrapText="1"/>
    </x:xf>
    <x:xf numFmtId="0" fontId="3" fillId="60" borderId="0" xfId="0" applyNumberFormat="1" applyFont="1" applyFill="1" applyBorder="1" applyAlignment="1">
      <x:alignment horizontal="center" vertical="top" wrapText="1"/>
    </x:xf>
    <x:xf numFmtId="0" fontId="48" fillId="58" borderId="0" xfId="0" applyNumberFormat="1" applyFont="1" applyFill="1" applyBorder="1" applyAlignment="1">
      <x:alignment vertical="top" wrapText="1"/>
    </x:xf>
    <x:xf numFmtId="0" fontId="0" fillId="61" borderId="0" xfId="0" applyNumberFormat="1" applyFont="1" applyFill="1" applyBorder="1" applyAlignment="1">
      <x:alignment vertical="top" wrapText="1"/>
    </x:xf>
    <x:xf numFmtId="205" fontId="0" fillId="62" borderId="0" xfId="0" applyNumberFormat="1" applyFont="1" applyFill="1" applyBorder="1" applyAlignment="1">
      <x:alignment vertical="top" wrapText="1"/>
    </x:xf>
    <x:xf numFmtId="0" fontId="0" fillId="63" borderId="0" xfId="0" applyNumberFormat="1" applyFont="1" applyFill="1" applyBorder="1" applyAlignment="1">
      <x:alignment wrapText="1"/>
    </x:xf>
    <x:xf numFmtId="0" fontId="47" fillId="63" borderId="0" xfId="0" applyNumberFormat="1" applyFont="1" applyFill="1" applyBorder="1" applyAlignment="1">
      <x:alignment wrapText="1"/>
    </x:xf>
    <x:xf numFmtId="0" fontId="0" fillId="64" borderId="0" xfId="0" applyNumberFormat="1" applyFont="1" applyFill="1" applyBorder="1"/>
    <x:xf numFmtId="0" fontId="46" fillId="64" borderId="0" xfId="0" applyNumberFormat="1" applyFont="1" applyFill="1" applyBorder="1"/>
    <x:xf numFmtId="0" fontId="46" fillId="64" borderId="0" xfId="0" applyNumberFormat="1" applyFont="1" applyFill="1" applyBorder="1" applyAlignment="1">
      <x:alignment vertical="center"/>
    </x:xf>
    <x:xf numFmtId="0" fontId="0" fillId="65" borderId="0" xfId="0" applyNumberFormat="1" applyFont="1" applyFill="1" applyBorder="1"/>
    <x:xf numFmtId="0" fontId="44" fillId="65" borderId="0" xfId="0" applyNumberFormat="1" applyFont="1" applyFill="1" applyBorder="1"/>
    <x:xf numFmtId="0" fontId="44" fillId="65" borderId="0" xfId="0" applyNumberFormat="1" applyFont="1" applyFill="1" applyBorder="1" applyAlignment="1">
      <x:alignment wrapText="1"/>
    </x:xf>
    <x:xf numFmtId="0" fontId="44" fillId="65" borderId="0" xfId="0" applyNumberFormat="1" applyFont="1" applyFill="1" applyBorder="1" applyAlignment="1">
      <x:alignment vertical="center" wrapText="1"/>
    </x:xf>
    <x:xf numFmtId="0" fontId="0" fillId="66" borderId="0" xfId="0" applyNumberFormat="1" applyFont="1" applyFill="1" applyBorder="1"/>
    <x:xf numFmtId="0" fontId="42" fillId="66" borderId="0" xfId="0" applyNumberFormat="1" applyFont="1" applyFill="1" applyBorder="1"/>
    <x:xf numFmtId="0" fontId="42" fillId="66" borderId="17" xfId="0" applyNumberFormat="1" applyFont="1" applyFill="1" applyBorder="1"/>
    <x:xf numFmtId="0" fontId="42" fillId="66" borderId="17" xfId="0" applyNumberFormat="1" applyFont="1" applyFill="1" applyBorder="1" applyAlignment="1">
      <x:alignment wrapText="1"/>
    </x:xf>
    <x:xf numFmtId="0" fontId="42" fillId="66" borderId="17" xfId="0" applyNumberFormat="1" applyFont="1" applyFill="1" applyBorder="1" applyAlignment="1">
      <x:alignment horizontal="center" wrapText="1"/>
    </x:xf>
    <x:xf numFmtId="0" fontId="42" fillId="66" borderId="17" xfId="0" applyNumberFormat="1" applyFont="1" applyFill="1" applyBorder="1" applyAlignment="1">
      <x:alignment horizontal="center" vertical="center" wrapText="1"/>
    </x:xf>
    <x:xf numFmtId="0" fontId="45" fillId="0" borderId="17" xfId="0" applyNumberFormat="1" applyFont="1" applyFill="1" applyBorder="1" applyAlignment="1">
      <x:alignment wrapText="1"/>
    </x:xf>
    <x:xf numFmtId="0" fontId="45" fillId="0" borderId="17" xfId="0" applyNumberFormat="1" applyFont="1" applyFill="1" applyBorder="1" applyAlignment="1">
      <x:alignment vertical="top" wrapText="1"/>
    </x:xf>
    <x:xf numFmtId="206" fontId="45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26734D"/>
      </x:font>
      <x:fill>
        <x:patternFill>
          <x:bgColor rgb="FFE8F4EC"/>
        </x:patternFill>
      </x:fill>
    </x:dxf>
    <x:dxf>
      <x:font>
        <x:b/>
        <x:color rgb="FF7A5A00"/>
      </x:font>
      <x:fill>
        <x:patternFill>
          <x:bgColor rgb="FFFFF3D6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b/>
        <x:color rgb="FF143A52"/>
      </x:font>
      <x:fill>
        <x:patternFill>
          <x:bgColor rgb="FFE7F0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adaf64c2354952" /><Relationship Type="http://schemas.openxmlformats.org/officeDocument/2006/relationships/theme" Target="/xl/theme/theme1.xml" Id="R374037a94e2943ee" /><Relationship Type="http://schemas.openxmlformats.org/officeDocument/2006/relationships/sharedStrings" Target="/xl/sharedStrings.xml" Id="R2093b3e35bb44279" /><Relationship Type="http://schemas.openxmlformats.org/officeDocument/2006/relationships/worksheet" Target="/xl/worksheets/sheet1.xml" Id="R64002e6fd28049ff" /><Relationship Type="http://schemas.openxmlformats.org/officeDocument/2006/relationships/worksheet" Target="/xl/worksheets/sheet2.xml" Id="Rd9880f50435040d6" /><Relationship Type="http://schemas.openxmlformats.org/officeDocument/2006/relationships/worksheet" Target="/xl/worksheets/sheet3.xml" Id="R786fcbc300354860" /><Relationship Type="http://schemas.openxmlformats.org/officeDocument/2006/relationships/worksheet" Target="/xl/worksheets/sheet4.xml" Id="R99ab2712daf04b28" /><Relationship Type="http://schemas.openxmlformats.org/officeDocument/2006/relationships/worksheet" Target="/xl/worksheets/sheet5.xml" Id="Rceae70866a5c4c31" /><Relationship Type="http://schemas.openxmlformats.org/officeDocument/2006/relationships/worksheet" Target="/xl/worksheets/sheet6.xml" Id="R3e29a4f1855444c3" /><Relationship Type="http://schemas.openxmlformats.org/officeDocument/2006/relationships/worksheet" Target="/xl/worksheets/sheet7.xml" Id="R1c44d6f9c2734b34" /><Relationship Type="http://schemas.openxmlformats.org/officeDocument/2006/relationships/worksheet" Target="/xl/worksheets/sheet8.xml" Id="Rd348faa54dd240ea" /><Relationship Type="http://schemas.openxmlformats.org/officeDocument/2006/relationships/worksheet" Target="/xl/worksheets/sheet9.xml" Id="Re8b6cf4338504aa1" /><Relationship Type="http://schemas.openxmlformats.org/officeDocument/2006/relationships/worksheet" Target="/xl/worksheets/sheet10.xml" Id="Rc6c92d08e24b4fff" /><Relationship Type="http://schemas.openxmlformats.org/officeDocument/2006/relationships/worksheet" Target="/xl/worksheets/sheet11.xml" Id="R1f4b736d7c0d42b5" /><Relationship Type="http://schemas.openxmlformats.org/officeDocument/2006/relationships/worksheet" Target="/xl/worksheets/sheet12.xml" Id="R06308b6888d9482d" /><Relationship Type="http://schemas.microsoft.com/office/2017/10/relationships/person" Target="/xl/persons/person.xml" Id="R8f312bda1bc64aaa" /></Relationships>
</file>

<file path=xl/persons/person.xml><?xml version="1.0" encoding="utf-8"?>
<xltc:personList xmlns:xltc="http://schemas.microsoft.com/office/spreadsheetml/2018/threadedcomments">
  <xltc:person displayName="User" id="{321EEA20-D7E8-41FE-B0CE-8E218F4CBF5A}"/>
</xltc:personList>
</file>

<file path=xl/tables/table1.xml><?xml version="1.0" encoding="utf-8"?>
<x:table xmlns:x="http://schemas.openxmlformats.org/spreadsheetml/2006/main" id="1" name="TablaConfiguracion" displayName="TablaConfiguracion" ref="A4:F12" headerRowCount="1" totalsRowCount="0" totalsRowShown="0">
  <x:tableColumns count="6">
    <x:tableColumn id="1" name="CLAVE"/>
    <x:tableColumn id="2" name="VALOR"/>
    <x:tableColumn id="3" name="UNIDAD / OPCIONES"/>
    <x:tableColumn id="4" name="USO EN LA APP"/>
    <x:tableColumn id="5" name="QUIÉN LO VALIDA"/>
    <x:tableColumn id="6" name="ADVERT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ValoresESVD" displayName="TablaValoresESVD" ref="A5:W205" headerRowCount="1" totalsRowCount="0" totalsRowShown="0">
  <x:tableColumns count="23">
    <x:tableColumn id="1" name="ID_PARAMETRO"/>
    <x:tableColumn id="2" name="SERVICIO_ECOSISTEMICO"/>
    <x:tableColumn id="3" name="ECOSISTEMA"/>
    <x:tableColumn id="4" name="PAIS_REGION"/>
    <x:tableColumn id="5" name="ANIO_ESTUDIO"/>
    <x:tableColumn id="6" name="MONEDA_ORIGINAL"/>
    <x:tableColumn id="7" name="UNIDAD_BASE"/>
    <x:tableColumn id="8" name="VALOR_BAJO_ORIGINAL"/>
    <x:tableColumn id="9" name="VALOR_CENTRAL_ORIGINAL"/>
    <x:tableColumn id="10" name="VALOR_ALTO_ORIGINAL"/>
    <x:tableColumn id="11" name="METODO_VALORACION"/>
    <x:tableColumn id="12" name="BENEFICIARIOS"/>
    <x:tableColumn id="13" name="FACTOR_CONVERSION_MONEDA"/>
    <x:tableColumn id="14" name="FACTOR_ANIO_PRECIOS"/>
    <x:tableColumn id="15" name="FACTOR_TRANSFERENCIA_VALIDADO"/>
    <x:tableColumn id="16" name="VALOR_BAJO_NORMALIZADO"/>
    <x:tableColumn id="17" name="VALOR_CENTRAL_NORMALIZADO"/>
    <x:tableColumn id="18" name="VALOR_ALTO_NORMALIZADO"/>
    <x:tableColumn id="19" name="NIVEL_EVIDENCIA"/>
    <x:tableColumn id="20" name="COMPARABILIDAD"/>
    <x:tableColumn id="21" name="FUENTE_URL_CITA"/>
    <x:tableColumn id="22" name="NOTAS_TRANSFERENCIA"/>
    <x:tableColumn id="23" name="ESTADO_PARAMETR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Cuentas" displayName="TablaCuentas" ref="A4:G10" headerRowCount="1" totalsRowCount="0" totalsRowShown="0">
  <x:tableColumns count="7">
    <x:tableColumn id="1" name="CODIGO"/>
    <x:tableColumn id="2" name="NOMBRE"/>
    <x:tableColumn id="3" name="QUÉ INCLUYE"/>
    <x:tableColumn id="4" name="BASE TÍPICA"/>
    <x:tableColumn id="5" name="RESULTADO"/>
    <x:tableColumn id="6" name="RIESGO DE DOBLE CONTEO"/>
    <x:tableColumn id="7" name="TRATAMIEN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Diccionario" displayName="TablaDiccionario" ref="A4:F27" headerRowCount="1" totalsRowCount="0" totalsRowShown="0">
  <x:tableColumns count="6">
    <x:tableColumn id="1" name="HOJA"/>
    <x:tableColumn id="2" name="CAMPO"/>
    <x:tableColumn id="3" name="TIPO"/>
    <x:tableColumn id="4" name="OBLIGATORIO"/>
    <x:tableColumn id="5" name="QUÉ DEBE INGRESAR"/>
    <x:tableColumn id="6" name="FUNCIÓN EN EL CÁLCUL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8-26T15:12:51.247" personId="{321EEA20-D7E8-41FE-B0CE-8E218F4CBF5A}" id="{14F31711-D99A-D21E-57E5-165319964C22}">
    <xltc:text>Tasa de ejemplo para operar la plantilla. Sustituir por una tasa validada y documentada para el caso.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M5" dT="2026-08-26T15:12:51.854" personId="{321EEA20-D7E8-41FE-B0CE-8E218F4CBF5A}" id="{A6F2A732-16D5-8CE2-8F2D-032AA807E222}">
    <xltc:text>Multiplicador para convertir la moneda original a la moneda del modelo. Debe documentarse la fecha y fuente del tipo de cambio.</xltc:text>
  </xltc:threadedComment>
  <xltc:threadedComment ref="N5" dT="2026-08-26T15:12:51.854" personId="{321EEA20-D7E8-41FE-B0CE-8E218F4CBF5A}" id="{3110E231-62C6-E281-888F-F3209718B061}">
    <xltc:text>Multiplicador para actualizar el año de precios. Documentar índice y años usados.</xltc:text>
  </xltc:threadedComment>
  <xltc:threadedComment ref="O5" dT="2026-08-26T15:12:51.854" personId="{321EEA20-D7E8-41FE-B0CE-8E218F4CBF5A}" id="{792F4B06-64DC-5F45-AD69-D58431F1E522}">
    <xltc:text>Factor de transferencia validado por diferencias ecológicas, socioeconómicas, geográficas o metodológicas. No usar como ajuste arbitrario.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20de0b480a64da1" /><Relationship Type="http://schemas.openxmlformats.org/officeDocument/2006/relationships/vmlDrawing" Target="/xl/drawings/vmldrawing.vml" Id="Rc65c279c273948f5" /><Relationship Type="http://schemas.microsoft.com/office/2017/10/relationships/threadedComment" Target="/xl/threadedcomments/threadedcomment.xml" Id="R56e88134c87b4e25" /><Relationship Type="http://schemas.openxmlformats.org/officeDocument/2006/relationships/table" Target="/xl/tables/table1.xml" Id="Rc99108a5fd9345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45598af490dd470a" /><Relationship Type="http://schemas.openxmlformats.org/officeDocument/2006/relationships/vmlDrawing" Target="/xl/drawings/vmldrawing2.vml" Id="R322798fb54654370" /><Relationship Type="http://schemas.microsoft.com/office/2017/10/relationships/threadedComment" Target="/xl/threadedcomments/threadedcomment2.xml" Id="R4f96cc3c160f4791" /><Relationship Type="http://schemas.openxmlformats.org/officeDocument/2006/relationships/table" Target="/xl/tables/table2.xml" Id="R1e7c9924f9a74c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02569818e446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fbc9cf698204619" /></Relationships>
</file>

<file path=xl/worksheets/sheet1.xml><?xml version="1.0" encoding="utf-8"?>
<x:worksheet xmlns:x="http://schemas.openxmlformats.org/spreadsheetml/2006/main">
  <x:sheetPr>
    <x:tabColor rgb="FF143A52"/>
  </x:sheetPr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90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</x:cols>
  <x:sheetData>
    <x:row r="1" ht="28" customHeight="1">
      <x:c r="A1" s="391" t="str">
        <x:v>Calculadora VDEP · Base de referencia para uso durante el proceso</x:v>
      </x:c>
      <x:c r="B1" s="391" t="str">
        <x:v>Calculadora VDEP · Base de referencia para uso durante el proceso</x:v>
      </x:c>
      <x:c r="C1" s="391" t="str">
        <x:v>Calculadora VDEP · Base de referencia para uso durante el proceso</x:v>
      </x:c>
      <x:c r="D1" s="391" t="str">
        <x:v>Calculadora VDEP · Base de referencia para uso durante el proceso</x:v>
      </x:c>
      <x:c r="E1" s="391" t="str">
        <x:v>Calculadora VDEP · Base de referencia para uso durante el proceso</x:v>
      </x:c>
      <x:c r="F1" s="391" t="str">
        <x:v>Calculadora VDEP · Base de referencia para uso durante el proceso</x:v>
      </x:c>
      <x:c r="G1" s="391" t="str">
        <x:v>Calculadora VDEP · Base de referencia para uso durante el proceso</x:v>
      </x:c>
      <x:c r="H1" s="391" t="str">
        <x:v>Calculadora VDEP · Base de referencia para uso durante el proceso</x:v>
      </x:c>
    </x:row>
    <x:row r="2" ht="30" customHeight="1">
      <x:c r="A2" s="395" t="str">
        <x:v>Incluye los nueve casos aplicados del Producto 2.1.2. Los hechos y montos del anexo son didácticos y no constituyen tarifas oficiales.</x:v>
      </x:c>
      <x:c r="B2" s="395" t="str">
        <x:v>Incluye los nueve casos aplicados del Producto 2.1.2. Los hechos y montos del anexo son didácticos y no constituyen tarifas oficiales.</x:v>
      </x:c>
      <x:c r="C2" s="395" t="str">
        <x:v>Incluye los nueve casos aplicados del Producto 2.1.2. Los hechos y montos del anexo son didácticos y no constituyen tarifas oficiales.</x:v>
      </x:c>
      <x:c r="D2" s="395" t="str">
        <x:v>Incluye los nueve casos aplicados del Producto 2.1.2. Los hechos y montos del anexo son didácticos y no constituyen tarifas oficiales.</x:v>
      </x:c>
      <x:c r="E2" s="395" t="str">
        <x:v>Incluye los nueve casos aplicados del Producto 2.1.2. Los hechos y montos del anexo son didácticos y no constituyen tarifas oficiales.</x:v>
      </x:c>
      <x:c r="F2" s="395" t="str">
        <x:v>Incluye los nueve casos aplicados del Producto 2.1.2. Los hechos y montos del anexo son didácticos y no constituyen tarifas oficiales.</x:v>
      </x:c>
      <x:c r="G2" s="395" t="str">
        <x:v>Incluye los nueve casos aplicados del Producto 2.1.2. Los hechos y montos del anexo son didácticos y no constituyen tarifas oficiales.</x:v>
      </x:c>
      <x:c r="H2" s="395" t="str">
        <x:v>Incluye los nueve casos aplicados del Producto 2.1.2. Los hechos y montos del anexo son didácticos y no constituyen tarifas oficiales.</x:v>
      </x:c>
    </x:row>
    <x:row r="3">
      <x:c r="A3" s="383"/>
      <x:c r="B3" s="383"/>
      <x:c r="C3" s="383"/>
      <x:c r="D3" s="383"/>
      <x:c r="E3" s="383"/>
      <x:c r="F3" s="383"/>
      <x:c r="G3" s="383"/>
      <x:c r="H3" s="383"/>
    </x:row>
    <x:row r="4" ht="22" customHeight="1">
      <x:c r="A4" s="398" t="str">
        <x:v>Ruta rápida VDEP</x:v>
      </x:c>
      <x:c r="B4" s="398" t="str">
        <x:v>Ruta rápida VDEP</x:v>
      </x:c>
      <x:c r="C4" s="398" t="str">
        <x:v>Ruta rápida VDEP</x:v>
      </x:c>
      <x:c r="D4" s="398" t="str">
        <x:v>Ruta rápida VDEP</x:v>
      </x:c>
      <x:c r="E4" s="398" t="str">
        <x:v>Ruta rápida VDEP</x:v>
      </x:c>
      <x:c r="F4" s="398" t="str">
        <x:v>Ruta rápida VDEP</x:v>
      </x:c>
      <x:c r="G4" s="398" t="str">
        <x:v>Ruta rápida VDEP</x:v>
      </x:c>
      <x:c r="H4" s="398" t="str">
        <x:v>Ruta rápida VDEP</x:v>
      </x:c>
    </x:row>
    <x:row r="5" ht="34" customHeight="1">
      <x:c r="A5" s="401" t="str">
        <x:v>1</x:v>
      </x:c>
      <x:c r="B5" s="287" t="str">
        <x:v>Abra el expediente</x:v>
      </x:c>
      <x:c r="C5" s="287" t="str">
        <x:v>Registre autoridad, conducta, fecha, lugar, versión y responsable.</x:v>
      </x:c>
      <x:c r="D5" s="383"/>
      <x:c r="E5" s="383"/>
      <x:c r="F5" s="383"/>
      <x:c r="G5" s="383"/>
      <x:c r="H5" s="383"/>
    </x:row>
    <x:row r="6" ht="34" customHeight="1">
      <x:c r="A6" s="401" t="str">
        <x:v>2</x:v>
      </x:c>
      <x:c r="B6" s="287" t="str">
        <x:v>Describa el daño</x:v>
      </x:c>
      <x:c r="C6" s="287" t="str">
        <x:v>Complete hecho, receptor, línea base, cambio y consecuencia.</x:v>
      </x:c>
      <x:c r="D6" s="383"/>
      <x:c r="E6" s="383"/>
      <x:c r="F6" s="383"/>
      <x:c r="G6" s="383"/>
      <x:c r="H6" s="383"/>
    </x:row>
    <x:row r="7" ht="34" customHeight="1">
      <x:c r="A7" s="401" t="str">
        <x:v>3</x:v>
      </x:c>
      <x:c r="B7" s="287" t="str">
        <x:v>Añada cuentas</x:v>
      </x:c>
      <x:c r="C7" s="287" t="str">
        <x:v>Use A1, A2, B, C, D, E y R según la lesión demostrada.</x:v>
      </x:c>
      <x:c r="D7" s="383"/>
      <x:c r="E7" s="383"/>
      <x:c r="F7" s="383"/>
      <x:c r="G7" s="383"/>
      <x:c r="H7" s="383"/>
    </x:row>
    <x:row r="8" ht="34" customHeight="1">
      <x:c r="A8" s="401" t="str">
        <x:v>4</x:v>
      </x:c>
      <x:c r="B8" s="287" t="str">
        <x:v>Identifique el dato</x:v>
      </x:c>
      <x:c r="C8" s="287" t="str">
        <x:v>Marque cada monto como observado o estimado e indique su tipo de fuente.</x:v>
      </x:c>
      <x:c r="D8" s="383"/>
      <x:c r="E8" s="383"/>
      <x:c r="F8" s="383"/>
      <x:c r="G8" s="383"/>
      <x:c r="H8" s="383"/>
    </x:row>
    <x:row r="9">
      <x:c r="A9" s="401" t="str">
        <x:v>5</x:v>
      </x:c>
      <x:c r="B9" s="287" t="str">
        <x:v>Revise</x:v>
      </x:c>
      <x:c r="C9" s="287" t="str">
        <x:v>Compruebe incertidumbre, evidencia, pedigrí y doble conteo.</x:v>
      </x:c>
      <x:c r="D9" s="383"/>
      <x:c r="E9" s="383"/>
      <x:c r="F9" s="383"/>
      <x:c r="G9" s="383"/>
      <x:c r="H9" s="383"/>
    </x:row>
    <x:row r="10" ht="24" customHeight="1">
      <x:c r="A10" s="401" t="str">
        <x:v>6</x:v>
      </x:c>
      <x:c r="B10" s="287" t="str">
        <x:v>Exporte</x:v>
      </x:c>
      <x:c r="C10" s="287" t="str">
        <x:v>Conserve el rango, las advertencias, las fuentes y la versión usada.</x:v>
      </x:c>
      <x:c r="D10" s="383"/>
      <x:c r="E10" s="383"/>
      <x:c r="F10" s="383"/>
      <x:c r="G10" s="383"/>
      <x:c r="H10" s="383"/>
    </x:row>
    <x:row r="11" ht="37" customHeight="1">
      <x:c r="A11" s="383"/>
      <x:c r="B11" s="383"/>
      <x:c r="C11" s="383"/>
      <x:c r="D11" s="383"/>
      <x:c r="E11" s="383"/>
      <x:c r="F11" s="383"/>
      <x:c r="G11" s="383"/>
      <x:c r="H11" s="383"/>
    </x:row>
    <x:row r="12" ht="22" customHeight="1">
      <x:c r="A12" s="398" t="str">
        <x:v>Cuentas y capas</x:v>
      </x:c>
      <x:c r="B12" s="398" t="str">
        <x:v>Cuentas y capas</x:v>
      </x:c>
      <x:c r="C12" s="398" t="str">
        <x:v>Cuentas y capas</x:v>
      </x:c>
      <x:c r="D12" s="398" t="str">
        <x:v>Cuentas y capas</x:v>
      </x:c>
      <x:c r="E12" s="398" t="str">
        <x:v>Cuentas y capas</x:v>
      </x:c>
      <x:c r="F12" s="398" t="str">
        <x:v>Cuentas y capas</x:v>
      </x:c>
      <x:c r="G12" s="398" t="str">
        <x:v>Cuentas y capas</x:v>
      </x:c>
      <x:c r="H12" s="398" t="str">
        <x:v>Cuentas y capas</x:v>
      </x:c>
    </x:row>
    <x:row r="13" ht="37" customHeight="1">
      <x:c r="A13" s="295" t="str">
        <x:v>Cuenta A1</x:v>
      </x:c>
      <x:c r="B13" s="295" t="str">
        <x:v>Pérdida biofísica o poblacional</x:v>
      </x:c>
      <x:c r="C13" s="295" t="str">
        <x:v>Individuos, biomasa, reproducción, individuos-año y recuperación.</x:v>
      </x:c>
      <x:c r="D13" s="383"/>
      <x:c r="E13" s="383"/>
      <x:c r="F13" s="383"/>
      <x:c r="G13" s="383"/>
      <x:c r="H13" s="383"/>
    </x:row>
    <x:row r="14" ht="37" customHeight="1">
      <x:c r="A14" s="295" t="str">
        <x:v>Cuenta A2</x:v>
      </x:c>
      <x:c r="B14" s="295" t="str">
        <x:v>Pérdida irreversible del individuo</x:v>
      </x:c>
      <x:c r="C14" s="295" t="str">
        <x:v>Precio sombra o equivalencia de conservación cuando existe una base defendible.</x:v>
      </x:c>
      <x:c r="D14" s="383"/>
      <x:c r="E14" s="383"/>
      <x:c r="F14" s="383"/>
      <x:c r="G14" s="383"/>
      <x:c r="H14" s="383"/>
    </x:row>
    <x:row r="15" ht="37" customHeight="1">
      <x:c r="A15" s="295" t="str">
        <x:v>Cuenta B</x:v>
      </x:c>
      <x:c r="B15" s="295" t="str">
        <x:v>Servicios ecosistémicos</x:v>
      </x:c>
      <x:c r="C15" s="295" t="str">
        <x:v>Recurso o hábitat → función → servicio → beneficiario → periodo.</x:v>
      </x:c>
      <x:c r="D15" s="383"/>
      <x:c r="E15" s="383"/>
      <x:c r="F15" s="383"/>
      <x:c r="G15" s="383"/>
      <x:c r="H15" s="383"/>
    </x:row>
    <x:row r="16">
      <x:c r="A16" s="295" t="str">
        <x:v>Cuenta C</x:v>
      </x:c>
      <x:c r="B16" s="295" t="str">
        <x:v>Respuesta pública incremental</x:v>
      </x:c>
      <x:c r="C16" s="295" t="str">
        <x:v>Actuaciones adicionales atribuibles al caso.</x:v>
      </x:c>
      <x:c r="D16" s="383"/>
      <x:c r="E16" s="383"/>
      <x:c r="F16" s="383"/>
      <x:c r="G16" s="383"/>
      <x:c r="H16" s="383"/>
    </x:row>
    <x:row r="17" ht="24" customHeight="1">
      <x:c r="A17" s="295" t="str">
        <x:v>Cuenta D</x:v>
      </x:c>
      <x:c r="B17" s="295" t="str">
        <x:v>Rescate y cuidado</x:v>
      </x:c>
      <x:c r="C17" s="295" t="str">
        <x:v>Atención, cuarentena, rehabilitación, liberación o cuidado permanente.</x:v>
      </x:c>
      <x:c r="D17" s="383"/>
      <x:c r="E17" s="383"/>
      <x:c r="F17" s="383"/>
      <x:c r="G17" s="383"/>
      <x:c r="H17" s="383"/>
    </x:row>
    <x:row r="18" ht="34" customHeight="1">
      <x:c r="A18" s="295" t="str">
        <x:v>Cuenta E</x:v>
      </x:c>
      <x:c r="B18" s="295" t="str">
        <x:v>Efectos conexos demostrados</x:v>
      </x:c>
      <x:c r="C18" s="295" t="str">
        <x:v>Efectos sanitarios, sociales o económicos con nexo específico.</x:v>
      </x:c>
      <x:c r="D18" s="383"/>
      <x:c r="E18" s="383"/>
      <x:c r="F18" s="383"/>
      <x:c r="G18" s="383"/>
      <x:c r="H18" s="383"/>
    </x:row>
    <x:row r="19" ht="32" customHeight="1">
      <x:c r="A19" s="295" t="str">
        <x:v>Capa R</x:v>
      </x:c>
      <x:c r="B19" s="295" t="str">
        <x:v>Restauración o equivalencia</x:v>
      </x:c>
      <x:c r="C19" s="295" t="str">
        <x:v>Acción factible, adicional y vinculada a A1, A2 o B.</x:v>
      </x:c>
      <x:c r="D19" s="383"/>
      <x:c r="E19" s="383"/>
      <x:c r="F19" s="383"/>
      <x:c r="G19" s="383"/>
      <x:c r="H19" s="383"/>
    </x:row>
    <x:row r="20" ht="32" customHeight="1">
      <x:c r="A20" s="295" t="str">
        <x:v>Capa G</x:v>
      </x:c>
      <x:c r="B20" s="295" t="str">
        <x:v>Gravedad ética y jurídica</x:v>
      </x:c>
      <x:c r="C20" s="295" t="str">
        <x:v>Se informa separada y nunca funciona como multiplicador automático.</x:v>
      </x:c>
      <x:c r="D20" s="383"/>
      <x:c r="E20" s="383"/>
      <x:c r="F20" s="383"/>
      <x:c r="G20" s="383"/>
      <x:c r="H20" s="383"/>
    </x:row>
    <x:row r="21" ht="32" customHeight="1">
      <x:c r="A21" s="383"/>
      <x:c r="B21" s="383"/>
      <x:c r="C21" s="383"/>
      <x:c r="D21" s="383"/>
      <x:c r="E21" s="383"/>
      <x:c r="F21" s="383"/>
      <x:c r="G21" s="383"/>
      <x:c r="H21" s="383"/>
    </x:row>
    <x:row r="22" ht="22" customHeight="1">
      <x:c r="A22" s="398" t="str">
        <x:v>Reglas esenciales</x:v>
      </x:c>
      <x:c r="B22" s="398" t="str">
        <x:v>Reglas esenciales</x:v>
      </x:c>
      <x:c r="C22" s="398" t="str">
        <x:v>Reglas esenciales</x:v>
      </x:c>
      <x:c r="D22" s="398" t="str">
        <x:v>Reglas esenciales</x:v>
      </x:c>
      <x:c r="E22" s="398" t="str">
        <x:v>Reglas esenciales</x:v>
      </x:c>
      <x:c r="F22" s="398" t="str">
        <x:v>Reglas esenciales</x:v>
      </x:c>
      <x:c r="G22" s="398" t="str">
        <x:v>Reglas esenciales</x:v>
      </x:c>
      <x:c r="H22" s="398" t="str">
        <x:v>Reglas esenciales</x:v>
      </x:c>
    </x:row>
    <x:row r="23" ht="24" customHeight="1">
      <x:c r="A23" s="265" t="str">
        <x:v>Los casos aplicados provienen del Producto 2.1.2 y son ficticios según la advertencia del propio anexo.</x:v>
      </x:c>
      <x:c r="B23" s="265" t="str">
        <x:v>Los casos aplicados provienen del Producto 2.1.2 y son ficticios según la advertencia del propio anexo.</x:v>
      </x:c>
      <x:c r="C23" s="265" t="str">
        <x:v>Los casos aplicados provienen del Producto 2.1.2 y son ficticios según la advertencia del propio anexo.</x:v>
      </x:c>
      <x:c r="D23" s="265" t="str">
        <x:v>Los casos aplicados provienen del Producto 2.1.2 y son ficticios según la advertencia del propio anexo.</x:v>
      </x:c>
      <x:c r="E23" s="265" t="str">
        <x:v>Los casos aplicados provienen del Producto 2.1.2 y son ficticios según la advertencia del propio anexo.</x:v>
      </x:c>
      <x:c r="F23" s="265" t="str">
        <x:v>Los casos aplicados provienen del Producto 2.1.2 y son ficticios según la advertencia del propio anexo.</x:v>
      </x:c>
      <x:c r="G23" s="265" t="str">
        <x:v>Los casos aplicados provienen del Producto 2.1.2 y son ficticios según la advertencia del propio anexo.</x:v>
      </x:c>
      <x:c r="H23" s="265" t="str">
        <x:v>Los casos aplicados provienen del Producto 2.1.2 y son ficticios según la advertencia del propio anexo.</x:v>
      </x:c>
    </x:row>
    <x:row r="24" ht="26" customHeight="1">
      <x:c r="A24" s="265" t="str">
        <x:v>Evidencia A, B o C puede sustentar el resultado principal; D/E es exploratoria; X se excluye.</x:v>
      </x:c>
      <x:c r="B24" s="265"/>
      <x:c r="C24" s="265"/>
      <x:c r="D24" s="265"/>
      <x:c r="E24" s="265"/>
      <x:c r="F24" s="265"/>
      <x:c r="G24" s="265"/>
      <x:c r="H24" s="265"/>
    </x:row>
    <x:row r="25" ht="26" customHeight="1">
      <x:c r="A25" s="265" t="str">
        <x:v>Los datos específicos del expediente sustituyen los parámetros históricos cuando aparecen.</x:v>
      </x:c>
      <x:c r="B25" s="265"/>
      <x:c r="C25" s="265"/>
      <x:c r="D25" s="265"/>
      <x:c r="E25" s="265"/>
      <x:c r="F25" s="265"/>
      <x:c r="G25" s="265"/>
      <x:c r="H25" s="265"/>
    </x:row>
    <x:row r="26" ht="26" customHeight="1">
      <x:c r="A26" s="265" t="str">
        <x:v>UICN y CITES informan riesgo y recuperación. No añaden porcentajes ni multiplicadores.</x:v>
      </x:c>
      <x:c r="B26" s="265"/>
      <x:c r="C26" s="265"/>
      <x:c r="D26" s="265"/>
      <x:c r="E26" s="265"/>
      <x:c r="F26" s="265"/>
      <x:c r="G26" s="265"/>
      <x:c r="H26" s="265"/>
    </x:row>
    <x:row r="27" ht="34" customHeight="1">
      <x:c r="A27" s="265" t="str">
        <x:v>A2, B y R requieren revisión expresa para no valorar dos veces la misma reparación.</x:v>
      </x:c>
      <x:c r="B27" s="265"/>
      <x:c r="C27" s="265"/>
      <x:c r="D27" s="265"/>
      <x:c r="E27" s="265"/>
      <x:c r="F27" s="265"/>
      <x:c r="G27" s="265"/>
      <x:c r="H27" s="265"/>
    </x:row>
    <x:row r="28">
      <x:c r="A28" s="383"/>
      <x:c r="B28" s="383"/>
      <x:c r="C28" s="383"/>
      <x:c r="D28" s="383"/>
      <x:c r="E28" s="383"/>
      <x:c r="F28" s="383"/>
      <x:c r="G28" s="383"/>
      <x:c r="H28" s="383"/>
    </x:row>
    <x:row r="29" ht="22" customHeight="1">
      <x:c r="A29" s="398" t="str">
        <x:v>Base metodológica utilizada</x:v>
      </x:c>
      <x:c r="B29" s="398" t="str">
        <x:v>Base metodológica utilizada</x:v>
      </x:c>
      <x:c r="C29" s="398" t="str">
        <x:v>Base metodológica utilizada</x:v>
      </x:c>
      <x:c r="D29" s="398" t="str">
        <x:v>Base metodológica utilizada</x:v>
      </x:c>
      <x:c r="E29" s="398" t="str">
        <x:v>Base metodológica utilizada</x:v>
      </x:c>
      <x:c r="F29" s="398" t="str">
        <x:v>Base metodológica utilizada</x:v>
      </x:c>
      <x:c r="G29" s="398" t="str">
        <x:v>Base metodológica utilizada</x:v>
      </x:c>
      <x:c r="H29" s="398" t="str">
        <x:v>Base metodológica utilizada</x:v>
      </x:c>
    </x:row>
    <x:row r="30">
      <x:c r="A30" s="265" t="str">
        <x:v>Producto 2.1.2, Anexo técnico de ejemplos aplicados de Valoración del Daño para Efectos Procesales (VDEP), septiembre de 2026.</x:v>
      </x:c>
      <x:c r="B30" s="265" t="str">
        <x:v>Producto 2.1.2, Anexo técnico de ejemplos aplicados de Valoración del Daño para Efectos Procesales (VDEP), septiembre de 2026.</x:v>
      </x:c>
      <x:c r="C30" s="265" t="str">
        <x:v>Producto 2.1.2, Anexo técnico de ejemplos aplicados de Valoración del Daño para Efectos Procesales (VDEP), septiembre de 2026.</x:v>
      </x:c>
      <x:c r="D30" s="265" t="str">
        <x:v>Producto 2.1.2, Anexo técnico de ejemplos aplicados de Valoración del Daño para Efectos Procesales (VDEP), septiembre de 2026.</x:v>
      </x:c>
      <x:c r="E30" s="265" t="str">
        <x:v>Producto 2.1.2, Anexo técnico de ejemplos aplicados de Valoración del Daño para Efectos Procesales (VDEP), septiembre de 2026.</x:v>
      </x:c>
      <x:c r="F30" s="265" t="str">
        <x:v>Producto 2.1.2, Anexo técnico de ejemplos aplicados de Valoración del Daño para Efectos Procesales (VDEP), septiembre de 2026.</x:v>
      </x:c>
      <x:c r="G30" s="265" t="str">
        <x:v>Producto 2.1.2, Anexo técnico de ejemplos aplicados de Valoración del Daño para Efectos Procesales (VDEP), septiembre de 2026.</x:v>
      </x:c>
      <x:c r="H30" s="265" t="str">
        <x:v>Producto 2.1.2, Anexo técnico de ejemplos aplicados de Valoración del Daño para Efectos Procesales (VDEP), septiembre de 2026.</x:v>
      </x:c>
    </x:row>
    <x:row r="31">
      <x:c r="A31" s="265" t="str">
        <x:v>Nueve casos didácticos con variables biofísicas, componentes monetarios, ecuaciones, rangos y control de doble conteo.</x:v>
      </x:c>
      <x:c r="B31" s="265" t="str">
        <x:v>Nueve casos didácticos con variables biofísicas, componentes monetarios, ecuaciones, rangos y control de doble conteo.</x:v>
      </x:c>
      <x:c r="C31" s="265" t="str">
        <x:v>Nueve casos didácticos con variables biofísicas, componentes monetarios, ecuaciones, rangos y control de doble conteo.</x:v>
      </x:c>
      <x:c r="D31" s="265" t="str">
        <x:v>Nueve casos didácticos con variables biofísicas, componentes monetarios, ecuaciones, rangos y control de doble conteo.</x:v>
      </x:c>
      <x:c r="E31" s="265" t="str">
        <x:v>Nueve casos didácticos con variables biofísicas, componentes monetarios, ecuaciones, rangos y control de doble conteo.</x:v>
      </x:c>
      <x:c r="F31" s="265" t="str">
        <x:v>Nueve casos didácticos con variables biofísicas, componentes monetarios, ecuaciones, rangos y control de doble conteo.</x:v>
      </x:c>
      <x:c r="G31" s="265" t="str">
        <x:v>Nueve casos didácticos con variables biofísicas, componentes monetarios, ecuaciones, rangos y control de doble conteo.</x:v>
      </x:c>
      <x:c r="H31" s="265" t="str">
        <x:v>Nueve casos didácticos con variables biofísicas, componentes monetarios, ecuaciones, rangos y control de doble conteo.</x:v>
      </x:c>
    </x:row>
    <x:row r="32">
      <x:c r="A32" s="265" t="str">
        <x:v>No usar como tarifa, promedio real ni parámetro oficial. Sustituir por evidencia específica del expediente cuando esté disponible.</x:v>
      </x:c>
      <x:c r="B32" s="265" t="str">
        <x:v>No usar como tarifa, promedio real ni parámetro oficial. Sustituir por evidencia específica del expediente cuando esté disponible.</x:v>
      </x:c>
      <x:c r="C32" s="265" t="str">
        <x:v>No usar como tarifa, promedio real ni parámetro oficial. Sustituir por evidencia específica del expediente cuando esté disponible.</x:v>
      </x:c>
      <x:c r="D32" s="265" t="str">
        <x:v>No usar como tarifa, promedio real ni parámetro oficial. Sustituir por evidencia específica del expediente cuando esté disponible.</x:v>
      </x:c>
      <x:c r="E32" s="265" t="str">
        <x:v>No usar como tarifa, promedio real ni parámetro oficial. Sustituir por evidencia específica del expediente cuando esté disponible.</x:v>
      </x:c>
      <x:c r="F32" s="265" t="str">
        <x:v>No usar como tarifa, promedio real ni parámetro oficial. Sustituir por evidencia específica del expediente cuando esté disponible.</x:v>
      </x:c>
      <x:c r="G32" s="265" t="str">
        <x:v>No usar como tarifa, promedio real ni parámetro oficial. Sustituir por evidencia específica del expediente cuando esté disponible.</x:v>
      </x:c>
      <x:c r="H32" s="265" t="str">
        <x:v>No usar como tarifa, promedio real ni parámetro oficial. Sustituir por evidencia específica del expediente cuando esté disponible.</x:v>
      </x:c>
    </x:row>
    <x:row r="33">
      <x:c r="A33" s="514" t="str">
        <x:v>Las multas de la Ley 7317 se seleccionan en una pestaña propia de la aplicación. Se muestran separadas del daño y solo se suman en el total final.</x:v>
      </x:c>
      <x:c r="B33" s="514"/>
      <x:c r="C33" s="514"/>
      <x:c r="D33" s="514"/>
      <x:c r="E33" s="514"/>
      <x:c r="F33" s="514"/>
      <x:c r="G33" s="514"/>
      <x:c r="H33" s="514"/>
    </x:row>
  </x:sheetData>
  <x:mergeCells>
    <x:mergeCell ref="A1:H1"/>
    <x:mergeCell ref="A2:H2"/>
    <x:mergeCell ref="A4:H4"/>
    <x:mergeCell ref="A12:H12"/>
    <x:mergeCell ref="A22:H22"/>
    <x:mergeCell ref="A23:H23"/>
    <x:mergeCell ref="A24:H24"/>
    <x:mergeCell ref="A25:H25"/>
    <x:mergeCell ref="A26:H26"/>
    <x:mergeCell ref="A27:H27"/>
    <x:mergeCell ref="A29:H29"/>
    <x:mergeCell ref="A30:H30"/>
    <x:mergeCell ref="A31:H31"/>
    <x:mergeCell ref="A32:H32"/>
    <x:mergeCell ref="A33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8" hidden="0" customWidth="1"/>
    <x:col min="3" max="3" width="23" hidden="0" customWidth="1"/>
    <x:col min="4" max="4" width="35" hidden="0" customWidth="1"/>
    <x:col min="5" max="5" width="26" hidden="0" customWidth="1"/>
    <x:col min="6" max="6" width="43" hidden="0" customWidth="1"/>
  </x:cols>
  <x:sheetData>
    <x:row r="1" ht="38" customHeight="1">
      <x:c r="A1" s="348" t="str">
        <x:v>Configuración de la valoración procesal VDEP</x:v>
      </x:c>
      <x:c r="B1" s="348" t="str">
        <x:v>Configuración de la valoración procesal VDEP</x:v>
      </x:c>
      <x:c r="C1" s="348" t="str">
        <x:v>Configuración de la valoración procesal VDEP</x:v>
      </x:c>
      <x:c r="D1" s="348" t="str">
        <x:v>Configuración de la valoración procesal VDEP</x:v>
      </x:c>
      <x:c r="E1" s="348" t="str">
        <x:v>Configuración de la valoración procesal VDEP</x:v>
      </x:c>
      <x:c r="F1" s="348" t="str">
        <x:v>Configuración de la valoración procesal VDEP</x:v>
      </x:c>
    </x:row>
    <x:row r="2" ht="32" customHeight="1">
      <x:c r="A2" s="256" t="str">
        <x:v>Valores operativos para los casos aplicados. Las cifras del anexo son ficticias y sirven exclusivamente para probar el instrumento.</x:v>
      </x:c>
      <x:c r="B2" s="256" t="str">
        <x:v>Valores operativos para los casos aplicados. Las cifras del anexo son ficticias y sirven exclusivamente para probar el instrumento.</x:v>
      </x:c>
      <x:c r="C2" s="256" t="str">
        <x:v>Valores operativos para los casos aplicados. Las cifras del anexo son ficticias y sirven exclusivamente para probar el instrumento.</x:v>
      </x:c>
      <x:c r="D2" s="256" t="str">
        <x:v>Valores operativos para los casos aplicados. Las cifras del anexo son ficticias y sirven exclusivamente para probar el instrumento.</x:v>
      </x:c>
      <x:c r="E2" s="256" t="str">
        <x:v>Valores operativos para los casos aplicados. Las cifras del anexo son ficticias y sirven exclusivamente para probar el instrumento.</x:v>
      </x:c>
      <x:c r="F2" s="256" t="str">
        <x:v>Valores operativos para los casos aplicados. Las cifras del anexo son ficticias y sirven exclusivamente para probar el instrumento.</x:v>
      </x:c>
    </x:row>
    <x:row r="3">
      <x:c r="A3" s="257"/>
      <x:c r="B3" s="257"/>
      <x:c r="C3" s="257"/>
      <x:c r="D3" s="257"/>
      <x:c r="E3" s="257"/>
      <x:c r="F3" s="257"/>
    </x:row>
    <x:row r="4" ht="34" customHeight="1">
      <x:c r="A4" s="306" t="str">
        <x:v>CLAVE</x:v>
      </x:c>
      <x:c r="B4" s="307" t="str">
        <x:v>VALOR</x:v>
      </x:c>
      <x:c r="C4" s="307" t="str">
        <x:v>UNIDAD / OPCIONES</x:v>
      </x:c>
      <x:c r="D4" s="307" t="str">
        <x:v>USO EN LA APP</x:v>
      </x:c>
      <x:c r="E4" s="307" t="str">
        <x:v>QUIÉN LO VALIDA</x:v>
      </x:c>
      <x:c r="F4" s="308" t="str">
        <x:v>ADVERTENCIA</x:v>
      </x:c>
    </x:row>
    <x:row r="5" ht="35" customHeight="1">
      <x:c r="A5" s="480" t="str">
        <x:v>moneda_modelo</x:v>
      </x:c>
      <x:c r="B5" s="481" t="str">
        <x:v>CRC</x:v>
      </x:c>
      <x:c r="C5" s="291" t="str">
        <x:v>Colones costarricenses</x:v>
      </x:c>
      <x:c r="D5" s="291" t="str">
        <x:v>Moneda de los nueve ejemplos aplicados.</x:v>
      </x:c>
      <x:c r="E5" s="291" t="str">
        <x:v>Especialista económico</x:v>
      </x:c>
      <x:c r="F5" s="291" t="str">
        <x:v>La etiqueta no convierte montos ingresados en otra moneda.</x:v>
      </x:c>
    </x:row>
    <x:row r="6" ht="35" customHeight="1">
      <x:c r="A6" s="482" t="str">
        <x:v>anio_base</x:v>
      </x:c>
      <x:c r="B6" s="483" t="n">
        <x:v>2026</x:v>
      </x:c>
      <x:c r="C6" s="293" t="str">
        <x:v>Año</x:v>
      </x:c>
      <x:c r="D6" s="293" t="str">
        <x:v>Año del anexo utilizado para la demostración.</x:v>
      </x:c>
      <x:c r="E6" s="293" t="str">
        <x:v>Especialista económico</x:v>
      </x:c>
      <x:c r="F6" s="293" t="str">
        <x:v>Actualizar al sustituir los datos didácticos.</x:v>
      </x:c>
    </x:row>
    <x:row r="7" ht="35" customHeight="1">
      <x:c r="A7" s="482" t="str">
        <x:v>tasa_descuento_baja</x:v>
      </x:c>
      <x:c r="B7" s="484" t="n">
        <x:v>0</x:v>
      </x:c>
      <x:c r="C7" s="293" t="str">
        <x:v>% anual</x:v>
      </x:c>
      <x:c r="D7" s="293" t="str">
        <x:v>Escenario bajo para nuevas líneas futuras.</x:v>
      </x:c>
      <x:c r="E7" s="293" t="str">
        <x:v>Equipo técnico</x:v>
      </x:c>
      <x:c r="F7" s="293" t="str">
        <x:v>Los componentes de los ejemplos ya vienen calculados por el anexo.</x:v>
      </x:c>
    </x:row>
    <x:row r="8" ht="35" customHeight="1">
      <x:c r="A8" s="482" t="str">
        <x:v>tasa_descuento_central</x:v>
      </x:c>
      <x:c r="B8" s="484" t="n">
        <x:v>0</x:v>
      </x:c>
      <x:c r="C8" s="293" t="str">
        <x:v>% anual</x:v>
      </x:c>
      <x:c r="D8" s="293" t="str">
        <x:v>Escenario central para nuevas líneas futuras.</x:v>
      </x:c>
      <x:c r="E8" s="293" t="str">
        <x:v>Equipo técnico</x:v>
      </x:c>
      <x:c r="F8" s="293" t="str">
        <x:v>El Ejemplo 2 ya incorpora 3 % dentro del valor presente publicado.</x:v>
      </x:c>
    </x:row>
    <x:row r="9" ht="35" customHeight="1">
      <x:c r="A9" s="482" t="str">
        <x:v>tasa_descuento_alta</x:v>
      </x:c>
      <x:c r="B9" s="484" t="n">
        <x:v>0</x:v>
      </x:c>
      <x:c r="C9" s="293" t="str">
        <x:v>% anual</x:v>
      </x:c>
      <x:c r="D9" s="293" t="str">
        <x:v>Escenario alto para nuevas líneas futuras.</x:v>
      </x:c>
      <x:c r="E9" s="293" t="str">
        <x:v>Equipo técnico</x:v>
      </x:c>
      <x:c r="F9" s="293" t="str">
        <x:v>Justificar cualquier cambio.</x:v>
      </x:c>
    </x:row>
    <x:row r="10" ht="35" customHeight="1">
      <x:c r="A10" s="482" t="str">
        <x:v>horizonte_maximo_anios</x:v>
      </x:c>
      <x:c r="B10" s="483" t="n">
        <x:v>30</x:v>
      </x:c>
      <x:c r="C10" s="293" t="str">
        <x:v>Años</x:v>
      </x:c>
      <x:c r="D10" s="293" t="str">
        <x:v>Límite de proyección para nuevas líneas.</x:v>
      </x:c>
      <x:c r="E10" s="293" t="str">
        <x:v>Ecólogo/a y economista</x:v>
      </x:c>
      <x:c r="F10" s="293" t="str">
        <x:v>No sustituye la estimación de recuperación.</x:v>
      </x:c>
    </x:row>
    <x:row r="11" ht="35" customHeight="1">
      <x:c r="A11" s="482" t="str">
        <x:v>permitir_agregacion</x:v>
      </x:c>
      <x:c r="B11" s="483" t="str">
        <x:v>No</x:v>
      </x:c>
      <x:c r="C11" s="293" t="str">
        <x:v>Sí / No</x:v>
      </x:c>
      <x:c r="D11" s="293" t="str">
        <x:v>Controla la visualización del total compatible.</x:v>
      </x:c>
      <x:c r="E11" s="293" t="str">
        <x:v>Responsable del informe</x:v>
      </x:c>
      <x:c r="F11" s="293" t="str">
        <x:v>Solo después de revisar causalidad, incertidumbre y doble conteo.</x:v>
      </x:c>
    </x:row>
    <x:row r="12" ht="35" customHeight="1">
      <x:c r="A12" s="482" t="str">
        <x:v>idioma</x:v>
      </x:c>
      <x:c r="B12" s="483" t="str">
        <x:v>es</x:v>
      </x:c>
      <x:c r="C12" s="293" t="str">
        <x:v>es</x:v>
      </x:c>
      <x:c r="D12" s="293" t="str">
        <x:v>Idioma de esta versión.</x:v>
      </x:c>
      <x:c r="E12" s="293" t="str">
        <x:v>Administrador/a</x:v>
      </x:c>
      <x:c r="F12" s="293" t="str">
        <x:v>No modificar en esta versión.</x:v>
      </x:c>
    </x:row>
    <x:row r="13">
      <x:c r="A13" s="485" t="str">
        <x:v>tipo_valoracion</x:v>
      </x:c>
      <x:c r="B13" s="486" t="str">
        <x:v>VDEP</x:v>
      </x:c>
      <x:c r="C13" s="295" t="str">
        <x:v>VDEP</x:v>
      </x:c>
      <x:c r="D13" s="295" t="str">
        <x:v>Uso durante un expediente abierto.</x:v>
      </x:c>
      <x:c r="E13" s="295" t="str">
        <x:v>Equipo técnico y jurídico</x:v>
      </x:c>
      <x:c r="F13" s="295" t="str">
        <x:v>La VDTC posterior sustituye referencias por datos observados.</x:v>
      </x:c>
    </x:row>
    <x:row r="14">
      <x:c r="A14" s="487" t="str">
        <x:v>fuente_casos_aplicados</x:v>
      </x:c>
      <x:c r="B14" s="487" t="str">
        <x:v>Producto 2.1.2</x:v>
      </x:c>
      <x:c r="C14" s="409" t="str">
        <x:v>Documento</x:v>
      </x:c>
      <x:c r="D14" s="409" t="str">
        <x:v>Identifica el anexo que alimenta los nueve ejemplos.</x:v>
      </x:c>
      <x:c r="E14" s="409" t="str">
        <x:v>Administrador/a</x:v>
      </x:c>
      <x:c r="F14" s="409" t="str">
        <x:v>Todos sus hechos y valores son ficticios según la advertencia didáctica.</x:v>
      </x:c>
    </x:row>
    <x:row r="15">
      <x:c r="A15" s="507" t="str">
        <x:v>salario_base_ley_7337</x:v>
      </x:c>
      <x:c r="B15" s="507" t="n">
        <x:v>462200</x:v>
      </x:c>
      <x:c r="C15" s="409" t="str">
        <x:v>CRC</x:v>
      </x:c>
      <x:c r="D15" s="409" t="str">
        <x:v>Salario base 2026 usado para convertir los rangos de multas de la Ley 7317.</x:v>
      </x:c>
      <x:c r="E15" s="409" t="str">
        <x:v>Equipo jurídico</x:v>
      </x:c>
      <x:c r="F15" s="409" t="str">
        <x:v>https://pj.poder-judicial.go.cr/index.php/component/content/article/2333-poder-judicial-fija-en-462-200-00-el-salario-base-para-multas-y-penas-por-la-comision-de-figuras-delictivas-en-el-2026?Itemid=409&amp;catid=8</x:v>
      </x:c>
    </x:row>
    <x:row r="16">
      <x:c r="A16" s="507" t="str">
        <x:v>anio_salario_base</x:v>
      </x:c>
      <x:c r="B16" s="507" t="n">
        <x:v>2026</x:v>
      </x:c>
      <x:c r="C16" s="409" t="str">
        <x:v>Año</x:v>
      </x:c>
      <x:c r="D16" s="409" t="str">
        <x:v>Año del salario base usado en la pestaña de multas.</x:v>
      </x:c>
      <x:c r="E16" s="409" t="str">
        <x:v>Equipo jurídico</x:v>
      </x:c>
      <x:c r="F16" s="409" t="str">
        <x:v>Actualizar cuando el Poder Judicial publique un nuevo salario base.</x:v>
      </x:c>
    </x:row>
    <x:row r="17">
      <x:c r="A17" s="507" t="str">
        <x:v>fuente_ley_7317</x:v>
      </x:c>
      <x:c r="B17" s="507" t="str">
        <x:v>https://pgrweb.go.cr/scij/Busqueda/Normativa/normas/nrm_texto_completo.aspx?nValor1=1&amp;nValor2=12648&amp;nValor3=122136&amp;nValor4=NO&amp;param2=2&amp;strTipM=TC</x:v>
      </x:c>
      <x:c r="C17" s="409" t="str">
        <x:v>URL</x:v>
      </x:c>
      <x:c r="D17" s="409" t="str">
        <x:v>Texto consolidado de la Ley 7317 consultado para el catálogo de multas.</x:v>
      </x:c>
      <x:c r="E17" s="409" t="str">
        <x:v>Equipo jurídico</x:v>
      </x:c>
      <x:c r="F17" s="409" t="str">
        <x:v>Verificar vigencia antes de emitir una valoración definitiva.</x:v>
      </x:c>
    </x:row>
    <x:row r="18">
      <x:c r="A18" s="408"/>
      <x:c r="B18" s="408"/>
      <x:c r="C18" s="409"/>
      <x:c r="D18" s="409"/>
      <x:c r="E18" s="409"/>
      <x:c r="F18"/>
    </x:row>
    <x:row r="19">
      <x:c r="A19" s="408"/>
      <x:c r="B19" s="408"/>
      <x:c r="C19" s="409"/>
      <x:c r="D19" s="409"/>
      <x:c r="E19" s="409"/>
      <x:c r="F19"/>
    </x:row>
    <x:row r="20">
      <x:c r="A20" s="408"/>
      <x:c r="B20" s="408"/>
      <x:c r="C20" s="409"/>
      <x:c r="D20" s="409"/>
      <x:c r="E20" s="409"/>
      <x:c r="F20"/>
    </x:row>
    <x:row r="21">
      <x:c r="A21" s="408"/>
      <x:c r="B21" s="408"/>
      <x:c r="C21" s="409"/>
      <x:c r="D21" s="409"/>
      <x:c r="E21" s="409"/>
      <x:c r="F21"/>
    </x:row>
    <x:row r="22">
      <x:c r="A22" s="408"/>
      <x:c r="B22" s="408"/>
      <x:c r="C22" s="409"/>
      <x:c r="D22" s="409"/>
      <x:c r="E22" s="409"/>
      <x:c r="F22"/>
    </x:row>
    <x:row r="23">
      <x:c r="A23" s="408"/>
      <x:c r="B23" s="408"/>
      <x:c r="C23" s="409"/>
      <x:c r="D23" s="409"/>
      <x:c r="E23" s="409"/>
      <x:c r="F23"/>
    </x:row>
    <x:row r="24">
      <x:c r="A24" s="408"/>
      <x:c r="B24" s="408"/>
      <x:c r="C24" s="409"/>
      <x:c r="D24" s="409"/>
      <x:c r="E24" s="409"/>
      <x:c r="F24"/>
    </x:row>
    <x:row r="25">
      <x:c r="A25" s="408"/>
      <x:c r="B25" s="408"/>
      <x:c r="C25" s="409"/>
      <x:c r="D25" s="409"/>
      <x:c r="E25" s="409"/>
      <x:c r="F25"/>
    </x:row>
    <x:row r="26">
      <x:c r="A26" s="408"/>
      <x:c r="B26" s="408"/>
      <x:c r="C26" s="409"/>
      <x:c r="D26" s="409"/>
      <x:c r="E26" s="409"/>
      <x:c r="F26"/>
    </x:row>
    <x:row r="27">
      <x:c r="A27" s="408"/>
      <x:c r="B27" s="408"/>
      <x:c r="C27" s="409"/>
      <x:c r="D27" s="409"/>
      <x:c r="E27" s="409"/>
      <x:c r="F27"/>
    </x:row>
    <x:row r="28">
      <x:c r="A28"/>
      <x:c r="B28"/>
      <x:c r="C28"/>
      <x:c r="D28"/>
      <x:c r="E28"/>
      <x:c r="F28"/>
    </x:row>
    <x:row r="29">
      <x:c r="A29"/>
      <x:c r="B29"/>
      <x:c r="C29"/>
      <x:c r="D29"/>
      <x:c r="E29"/>
      <x:c r="F29"/>
    </x:row>
    <x:row r="30">
      <x:c r="A30"/>
      <x:c r="B30"/>
      <x:c r="C30"/>
      <x:c r="D30"/>
      <x:c r="E30"/>
      <x:c r="F30"/>
    </x:row>
    <x:row r="31">
      <x:c r="A31"/>
      <x:c r="B31"/>
      <x:c r="C31"/>
      <x:c r="D31"/>
      <x:c r="E31"/>
      <x:c r="F31"/>
    </x:row>
    <x:row r="32">
      <x:c r="A32"/>
      <x:c r="B32"/>
      <x:c r="C32"/>
      <x:c r="D32"/>
      <x:c r="E32"/>
      <x:c r="F32"/>
    </x:row>
    <x:row r="33">
      <x:c r="A33"/>
      <x:c r="B33"/>
      <x:c r="C33"/>
      <x:c r="D33"/>
      <x:c r="E33"/>
      <x:c r="F33"/>
    </x:row>
    <x:row r="34">
      <x:c r="A34"/>
      <x:c r="B34"/>
      <x:c r="C34"/>
      <x:c r="D34"/>
      <x:c r="E34"/>
      <x:c r="F34"/>
    </x:row>
    <x:row r="35">
      <x:c r="A35"/>
      <x:c r="B35"/>
      <x:c r="C35"/>
      <x:c r="D35"/>
      <x:c r="E35"/>
      <x:c r="F35"/>
    </x:row>
    <x:row r="36">
      <x:c r="A36"/>
      <x:c r="B36"/>
      <x:c r="C36"/>
      <x:c r="D36"/>
      <x:c r="E36"/>
      <x:c r="F36"/>
    </x:row>
    <x:row r="37">
      <x:c r="A37"/>
      <x:c r="B37"/>
      <x:c r="C37"/>
      <x:c r="D37"/>
      <x:c r="E37"/>
      <x:c r="F37"/>
    </x:row>
    <x:row r="38">
      <x:c r="A38"/>
      <x:c r="B38"/>
      <x:c r="C38"/>
      <x:c r="D38"/>
      <x:c r="E38"/>
      <x:c r="F38"/>
    </x:row>
    <x:row r="39">
      <x:c r="A39"/>
      <x:c r="B39"/>
      <x:c r="C39"/>
      <x:c r="D39"/>
      <x:c r="E39"/>
      <x:c r="F39"/>
    </x:row>
    <x:row r="40">
      <x:c r="A40"/>
      <x:c r="B40"/>
      <x:c r="C40"/>
      <x:c r="D40"/>
      <x:c r="E40"/>
      <x:c r="F40"/>
    </x:row>
  </x:sheetData>
  <x:mergeCells>
    <x:mergeCell ref="A1:F1"/>
    <x:mergeCell ref="A2:F2"/>
  </x:mergeCells>
  <x:dataValidations count="1">
    <x:dataValidation type="list" sqref="B11">
      <x:formula1>"Sí,No"</x:formula1>
    </x:dataValidation>
  </x:dataValidations>
  <x:pageMargins left="0.7" right="0.7" top="0.75" bottom="0.75" header="0.3" footer="0.3"/>
  <x:legacyDrawing xmlns:r="http://schemas.openxmlformats.org/officeDocument/2006/relationships" r:id="Rc65c279c273948f5"/>
  <x:tableParts count="1">
    <x:tablePart xmlns:r="http://schemas.openxmlformats.org/officeDocument/2006/relationships" r:id="Rc99108a5fd9345e9"/>
  </x:tableParts>
</x:worksheet>
</file>

<file path=xl/worksheets/sheet3.xml><?xml version="1.0" encoding="utf-8"?>
<x:worksheet xmlns:x="http://schemas.openxmlformats.org/spreadsheetml/2006/main">
  <x:sheetPr>
    <x:tabColor rgb="FFF4B94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</x:cols>
  <x:sheetData>
    <x:row r="1" ht="38" customHeight="1">
      <x:c r="A1" s="503" t="str">
        <x:v>Valores de servicios incluidos en los ejemplos aplicados VDEP</x:v>
      </x:c>
      <x:c r="B1" s="503"/>
      <x:c r="C1" s="503"/>
      <x:c r="D1" s="503"/>
      <x:c r="E1" s="503"/>
      <x:c r="F1" s="503"/>
      <x:c r="G1" s="503"/>
      <x:c r="H1" s="503"/>
      <x:c r="I1" s="503"/>
      <x:c r="J1" s="503"/>
      <x:c r="K1" s="503"/>
      <x:c r="L1" s="503"/>
      <x:c r="M1" s="503"/>
      <x:c r="N1" s="503"/>
      <x:c r="O1" s="503"/>
      <x:c r="P1" s="503"/>
      <x:c r="Q1" s="503"/>
      <x:c r="R1" s="503"/>
      <x:c r="S1" s="503"/>
      <x:c r="T1" s="503"/>
      <x:c r="U1" s="503"/>
      <x:c r="V1" s="503"/>
      <x:c r="W1" s="503"/>
      <x:c r="X1" s="503"/>
      <x:c r="Y1" s="503"/>
      <x:c r="Z1" s="503"/>
      <x:c r="AA1" s="503"/>
      <x:c r="AB1" s="503"/>
      <x:c r="AC1" s="503"/>
      <x:c r="AD1" s="503"/>
      <x:c r="AE1" s="503"/>
      <x:c r="AF1" s="503"/>
      <x:c r="AG1" s="503"/>
      <x:c r="AH1" s="503"/>
      <x:c r="AI1" s="503"/>
      <x:c r="AJ1" s="503"/>
      <x:c r="AK1" s="503"/>
      <x:c r="AL1" s="503"/>
    </x:row>
    <x:row r="2" ht="32" customHeight="1">
      <x:c r="A2" s="501" t="str">
        <x:v>Solo contiene los servicios que el anexo monetiza. El Ejemplo 6 conserva la Cuenta B como indicador no monetario y no aparece aquí.</x:v>
      </x:c>
      <x:c r="B2" s="501"/>
      <x:c r="C2" s="501"/>
      <x:c r="D2" s="501"/>
      <x:c r="E2" s="501"/>
      <x:c r="F2" s="501"/>
      <x:c r="G2" s="501"/>
      <x:c r="H2" s="501"/>
      <x:c r="I2" s="501"/>
      <x:c r="J2" s="501"/>
      <x:c r="K2" s="501"/>
      <x:c r="L2" s="501"/>
      <x:c r="M2" s="501"/>
      <x:c r="N2" s="501"/>
      <x:c r="O2" s="501"/>
      <x:c r="P2" s="501"/>
      <x:c r="Q2" s="501"/>
      <x:c r="R2" s="501"/>
      <x:c r="S2" s="501"/>
      <x:c r="T2" s="501"/>
      <x:c r="U2" s="501"/>
      <x:c r="V2" s="501"/>
      <x:c r="W2" s="501"/>
      <x:c r="X2" s="501"/>
      <x:c r="Y2" s="501"/>
      <x:c r="Z2" s="501"/>
      <x:c r="AA2" s="501"/>
      <x:c r="AB2" s="501"/>
      <x:c r="AC2" s="501"/>
      <x:c r="AD2" s="501"/>
      <x:c r="AE2" s="501"/>
      <x:c r="AF2" s="501"/>
      <x:c r="AG2" s="501"/>
      <x:c r="AH2" s="501"/>
      <x:c r="AI2" s="501"/>
      <x:c r="AJ2" s="501"/>
      <x:c r="AK2" s="501"/>
      <x:c r="AL2" s="501"/>
    </x:row>
    <x:row r="3" ht="30" customHeight="1">
      <x:c r="A3" s="501" t="str">
        <x:v>Todos los parámetros son didácticos; sustituir por estudios y datos específicos antes de cualquier uso técnico o jurídico.</x:v>
      </x:c>
      <x:c r="B3" s="501"/>
      <x:c r="C3" s="501"/>
      <x:c r="D3" s="501"/>
      <x:c r="E3" s="501"/>
      <x:c r="F3" s="501"/>
      <x:c r="G3" s="501"/>
      <x:c r="H3" s="501"/>
      <x:c r="I3" s="501"/>
      <x:c r="J3" s="501"/>
      <x:c r="K3" s="501"/>
      <x:c r="L3" s="501"/>
      <x:c r="M3" s="501"/>
      <x:c r="N3" s="501"/>
      <x:c r="O3" s="501"/>
      <x:c r="P3" s="501"/>
      <x:c r="Q3" s="501"/>
      <x:c r="R3" s="501"/>
      <x:c r="S3" s="501"/>
      <x:c r="T3" s="501"/>
      <x:c r="U3" s="501"/>
      <x:c r="V3" s="501"/>
      <x:c r="W3" s="501"/>
      <x:c r="X3" s="501"/>
      <x:c r="Y3" s="501"/>
      <x:c r="Z3" s="501"/>
      <x:c r="AA3" s="501"/>
      <x:c r="AB3" s="501"/>
      <x:c r="AC3" s="501"/>
      <x:c r="AD3" s="501"/>
      <x:c r="AE3" s="501"/>
      <x:c r="AF3" s="501"/>
      <x:c r="AG3" s="501"/>
      <x:c r="AH3" s="501"/>
      <x:c r="AI3" s="501"/>
      <x:c r="AJ3" s="501"/>
      <x:c r="AK3" s="501"/>
      <x:c r="AL3" s="501"/>
    </x:row>
    <x:row r="4">
      <x:c r="A4" s="450"/>
      <x:c r="B4" s="450"/>
      <x:c r="C4" s="450"/>
      <x:c r="D4" s="450"/>
      <x:c r="E4" s="450"/>
      <x:c r="F4" s="450"/>
      <x:c r="G4" s="450"/>
      <x:c r="H4" s="450"/>
      <x:c r="I4" s="450"/>
      <x:c r="J4" s="450"/>
      <x:c r="K4" s="450"/>
      <x:c r="L4" s="450"/>
      <x:c r="M4" s="450"/>
      <x:c r="N4" s="450"/>
      <x:c r="O4" s="450"/>
      <x:c r="P4" s="450"/>
      <x:c r="Q4" s="450"/>
      <x:c r="R4" s="450"/>
      <x:c r="S4" s="450"/>
      <x:c r="T4" s="450"/>
      <x:c r="U4" s="450"/>
      <x:c r="V4" s="450"/>
      <x:c r="W4" s="450"/>
      <x:c r="X4" s="450"/>
      <x:c r="Y4" s="450"/>
      <x:c r="Z4" s="450"/>
      <x:c r="AA4" s="450"/>
      <x:c r="AB4" s="450"/>
      <x:c r="AC4" s="450"/>
      <x:c r="AD4" s="450"/>
      <x:c r="AE4" s="450"/>
      <x:c r="AF4" s="450"/>
      <x:c r="AG4" s="450"/>
      <x:c r="AH4" s="450"/>
      <x:c r="AI4" s="450"/>
      <x:c r="AJ4" s="450"/>
      <x:c r="AK4" s="450"/>
      <x:c r="AL4" s="450"/>
    </x:row>
    <x:row r="5" ht="34" customHeight="1">
      <x:c r="A5" s="502" t="str">
        <x:v>ID_PARAMETRO</x:v>
      </x:c>
      <x:c r="B5" s="502" t="str">
        <x:v>SERVICIO_ECOSISTEMICO</x:v>
      </x:c>
      <x:c r="C5" s="502" t="str">
        <x:v>ECOSISTEMA</x:v>
      </x:c>
      <x:c r="D5" s="502" t="str">
        <x:v>PAIS_REGION</x:v>
      </x:c>
      <x:c r="E5" s="502" t="str">
        <x:v>ANIO_ESTUDIO</x:v>
      </x:c>
      <x:c r="F5" s="502" t="str">
        <x:v>MONEDA_ORIGINAL</x:v>
      </x:c>
      <x:c r="G5" s="502" t="str">
        <x:v>UNIDAD_BASE</x:v>
      </x:c>
      <x:c r="H5" s="502" t="str">
        <x:v>VALOR_BAJO_ORIGINAL</x:v>
      </x:c>
      <x:c r="I5" s="502" t="str">
        <x:v>VALOR_CENTRAL_ORIGINAL</x:v>
      </x:c>
      <x:c r="J5" s="502" t="str">
        <x:v>VALOR_ALTO_ORIGINAL</x:v>
      </x:c>
      <x:c r="K5" s="502" t="str">
        <x:v>METODO_VALORACION</x:v>
      </x:c>
      <x:c r="L5" s="502" t="str">
        <x:v>BENEFICIARIOS</x:v>
      </x:c>
      <x:c r="M5" s="502" t="str">
        <x:v>FACTOR_CONVERSION_MONEDA</x:v>
      </x:c>
      <x:c r="N5" s="502" t="str">
        <x:v>FACTOR_ANIO_PRECIOS</x:v>
      </x:c>
      <x:c r="O5" s="502" t="str">
        <x:v>FACTOR_TRANSFERENCIA_VALIDADO</x:v>
      </x:c>
      <x:c r="P5" s="502" t="str">
        <x:v>VALOR_BAJO_NORMALIZADO</x:v>
      </x:c>
      <x:c r="Q5" s="502" t="str">
        <x:v>VALOR_CENTRAL_NORMALIZADO</x:v>
      </x:c>
      <x:c r="R5" s="502" t="str">
        <x:v>VALOR_ALTO_NORMALIZADO</x:v>
      </x:c>
      <x:c r="S5" s="502" t="str">
        <x:v>NIVEL_EVIDENCIA</x:v>
      </x:c>
      <x:c r="T5" s="502" t="str">
        <x:v>COMPARABILIDAD</x:v>
      </x:c>
      <x:c r="U5" s="502" t="str">
        <x:v>FUENTE_URL_CITA</x:v>
      </x:c>
      <x:c r="V5" s="502" t="str">
        <x:v>NOTAS_TRANSFERENCIA</x:v>
      </x:c>
      <x:c r="W5" s="502" t="str">
        <x:v>ESTADO_PARAMETRO</x:v>
      </x:c>
      <x:c r="X5" s="502" t="str">
        <x:v>UNIDADES_AFECTADAS_DEMO</x:v>
      </x:c>
      <x:c r="Y5" s="502" t="str">
        <x:v>PERDIDA_INICIAL_BAJA_DEMO</x:v>
      </x:c>
      <x:c r="Z5" s="502" t="str">
        <x:v>PERDIDA_INICIAL_CENTRAL_DEMO</x:v>
      </x:c>
      <x:c r="AA5" s="502" t="str">
        <x:v>PERDIDA_INICIAL_ALTA_DEMO</x:v>
      </x:c>
      <x:c r="AB5" s="502" t="str">
        <x:v>RECUPERACION_BAJA_DEMO</x:v>
      </x:c>
      <x:c r="AC5" s="502" t="str">
        <x:v>RECUPERACION_CENTRAL_DEMO</x:v>
      </x:c>
      <x:c r="AD5" s="502" t="str">
        <x:v>RECUPERACION_ALTA_DEMO</x:v>
      </x:c>
      <x:c r="AE5" s="502" t="str">
        <x:v>TIPO_FUENTE</x:v>
      </x:c>
      <x:c r="AF5" s="502" t="str">
        <x:v>ESTADO_DATO_PREDETERMINADO</x:v>
      </x:c>
      <x:c r="AG5" s="502" t="str">
        <x:v>N_CASOS</x:v>
      </x:c>
      <x:c r="AH5" s="502" t="str">
        <x:v>ESTADISTICO</x:v>
      </x:c>
      <x:c r="AI5" s="502" t="str">
        <x:v>PERIODO_REFERENCIA</x:v>
      </x:c>
      <x:c r="AJ5" s="502" t="str">
        <x:v>INCLUIR_CASO_DEMO</x:v>
      </x:c>
      <x:c r="AK5" s="502" t="str">
        <x:v>PERFIL_RECUPERACION_DEMO</x:v>
      </x:c>
      <x:c r="AL5" s="502" t="str">
        <x:v>ID_CASO</x:v>
      </x:c>
    </x:row>
    <x:row r="6" ht="22" customHeight="1">
      <x:c r="A6" s="450" t="str">
        <x:v>VDEP-EJ03-B01</x:v>
      </x:c>
      <x:c r="B6" s="450" t="str">
        <x:v>Pérdida funcional interina de lapa</x:v>
      </x:c>
      <x:c r="C6" s="450" t="str">
        <x:v>Bosque tropical no especificado</x:v>
      </x:c>
      <x:c r="D6" s="450" t="str">
        <x:v>Costa Rica</x:v>
      </x:c>
      <x:c r="E6" s="450" t="n">
        <x:v>2026</x:v>
      </x:c>
      <x:c r="F6" s="450" t="str">
        <x:v>CRC</x:v>
      </x:c>
      <x:c r="G6" s="450" t="str">
        <x:v>CRC/caso</x:v>
      </x:c>
      <x:c r="H6" s="451" t="n">
        <x:v>1200000</x:v>
      </x:c>
      <x:c r="I6" s="451" t="n">
        <x:v>1800000</x:v>
      </x:c>
      <x:c r="J6" s="451" t="n">
        <x:v>2400000</x:v>
      </x:c>
      <x:c r="K6" s="450" t="str">
        <x:v>Transferencia de beneficios</x:v>
      </x:c>
      <x:c r="L6" s="450" t="str">
        <x:v>Beneficiarios por definir</x:v>
      </x:c>
      <x:c r="M6" s="450" t="n">
        <x:v>1</x:v>
      </x:c>
      <x:c r="N6" s="450" t="n">
        <x:v>1</x:v>
      </x:c>
      <x:c r="O6" s="450" t="n">
        <x:v>1</x:v>
      </x:c>
      <x:c r="P6" s="505" t="n">
        <x:f>IF(OR($A6="",H6=""),"",H6*M6*N6*O6)</x:f>
        <x:v>1200000</x:v>
      </x:c>
      <x:c r="Q6" s="505" t="n">
        <x:f>IF(OR($A6="",I6=""),"",I6*M6*N6*O6)</x:f>
        <x:v>1800000</x:v>
      </x:c>
      <x:c r="R6" s="505" t="n">
        <x:f>IF(OR($A6="",J6=""),"",J6*M6*N6*O6)</x:f>
        <x:v>2400000</x:v>
      </x:c>
      <x:c r="S6" s="450" t="str">
        <x:v>B</x:v>
      </x:c>
      <x:c r="T6" s="450" t="str">
        <x:v>Media</x:v>
      </x:c>
      <x:c r="U6" s="450" t="str">
        <x:v>Producto 2.1.2, Anexo técnico de ejemplos aplicados VDEP, Ejemplo 3, pp. 8–10 (septiembre de 2026)</x:v>
      </x:c>
      <x:c r="V6" s="450" t="str">
        <x:v>Monto total del caso; no es valor por individuo.</x:v>
      </x:c>
      <x:c r="W6" s="504" t="str">
        <x:f>IF(A6="","",IF(OR(B6="",G6="",Q6="",S6="",T6="",U6=""),"INCOMPLETO",IF(OR(M6&lt;=0,N6&lt;=0,O6&lt;=0),"REVISAR FACTORES",IF(S6="X","EXCLUIDO",IF(OR(T6="Baja",S6="D",S6="E"),"EXPLORATORIO","LISTO")))))</x:f>
        <x:v>LISTO</x:v>
      </x:c>
      <x:c r="X6" s="450" t="n">
        <x:v>1</x:v>
      </x:c>
      <x:c r="Y6" s="450" t="n">
        <x:v>1</x:v>
      </x:c>
      <x:c r="Z6" s="450" t="n">
        <x:v>1</x:v>
      </x:c>
      <x:c r="AA6" s="450" t="n">
        <x:v>1</x:v>
      </x:c>
      <x:c r="AB6" s="450" t="n">
        <x:v>1</x:v>
      </x:c>
      <x:c r="AC6" s="450" t="n">
        <x:v>1</x:v>
      </x:c>
      <x:c r="AD6" s="450" t="n">
        <x:v>1</x:v>
      </x:c>
      <x:c r="AE6" s="450" t="str">
        <x:v>Transferencia de valor unitario</x:v>
      </x:c>
      <x:c r="AF6" s="450" t="str">
        <x:v>Estimado</x:v>
      </x:c>
      <x:c r="AG6" s="450"/>
      <x:c r="AH6" s="450" t="str">
        <x:v>Rango del ejemplo</x:v>
      </x:c>
      <x:c r="AI6" s="450" t="str">
        <x:v>septiembre de 2026</x:v>
      </x:c>
      <x:c r="AJ6" s="450" t="str">
        <x:v>No</x:v>
      </x:c>
      <x:c r="AK6" s="450" t="str">
        <x:v>Constante</x:v>
      </x:c>
      <x:c r="AL6" s="450" t="str">
        <x:v>VDEP-EJ03</x:v>
      </x:c>
    </x:row>
    <x:row r="7" ht="22" customHeight="1">
      <x:c r="A7" s="450" t="str">
        <x:v>VDEP-EJ05-B01</x:v>
      </x:c>
      <x:c r="B7" s="450" t="str">
        <x:v>Funciones de hábitat y protección del coral</x:v>
      </x:c>
      <x:c r="C7" s="450" t="str">
        <x:v>Arrecife coralino</x:v>
      </x:c>
      <x:c r="D7" s="450" t="str">
        <x:v>Costa Rica</x:v>
      </x:c>
      <x:c r="E7" s="450" t="n">
        <x:v>2026</x:v>
      </x:c>
      <x:c r="F7" s="450" t="str">
        <x:v>CRC</x:v>
      </x:c>
      <x:c r="G7" s="450" t="str">
        <x:v>CRC/m²-año</x:v>
      </x:c>
      <x:c r="H7" s="451" t="n">
        <x:v>600</x:v>
      </x:c>
      <x:c r="I7" s="451" t="n">
        <x:v>800</x:v>
      </x:c>
      <x:c r="J7" s="451" t="n">
        <x:v>1000</x:v>
      </x:c>
      <x:c r="K7" s="450" t="str">
        <x:v>Transferencia de beneficios</x:v>
      </x:c>
      <x:c r="L7" s="450" t="str">
        <x:v>Beneficiarios locales por definir</x:v>
      </x:c>
      <x:c r="M7" s="450" t="n">
        <x:v>1</x:v>
      </x:c>
      <x:c r="N7" s="450" t="n">
        <x:v>1</x:v>
      </x:c>
      <x:c r="O7" s="450" t="n">
        <x:v>1</x:v>
      </x:c>
      <x:c r="P7" s="505" t="n">
        <x:f>IF(OR($A7="",H7=""),"",H7*M7*N7*O7)</x:f>
        <x:v>600</x:v>
      </x:c>
      <x:c r="Q7" s="505" t="n">
        <x:f>IF(OR($A7="",I7=""),"",I7*M7*N7*O7)</x:f>
        <x:v>800</x:v>
      </x:c>
      <x:c r="R7" s="505" t="n">
        <x:f>IF(OR($A7="",J7=""),"",J7*M7*N7*O7)</x:f>
        <x:v>1000</x:v>
      </x:c>
      <x:c r="S7" s="450" t="str">
        <x:v>B</x:v>
      </x:c>
      <x:c r="T7" s="450" t="str">
        <x:v>Media</x:v>
      </x:c>
      <x:c r="U7" s="450" t="str">
        <x:v>Producto 2.1.2, Anexo técnico de ejemplos aplicados VDEP, Ejemplo 5, pp. 13–14 (septiembre de 2026)</x:v>
      </x:c>
      <x:c r="V7" s="450" t="str">
        <x:v>Aplicar a 150 m² durante 8/10/12 años; el ejemplo no aplica descuento a esta multiplicación.</x:v>
      </x:c>
      <x:c r="W7" s="504" t="str">
        <x:f>IF(A7="","",IF(OR(B7="",G7="",Q7="",S7="",T7="",U7=""),"INCOMPLETO",IF(OR(M7&lt;=0,N7&lt;=0,O7&lt;=0),"REVISAR FACTORES",IF(S7="X","EXCLUIDO",IF(OR(T7="Baja",S7="D",S7="E"),"EXPLORATORIO","LISTO")))))</x:f>
        <x:v>LISTO</x:v>
      </x:c>
      <x:c r="X7" s="450" t="n">
        <x:v>150</x:v>
      </x:c>
      <x:c r="Y7" s="450" t="n">
        <x:v>1</x:v>
      </x:c>
      <x:c r="Z7" s="450" t="n">
        <x:v>1</x:v>
      </x:c>
      <x:c r="AA7" s="450" t="n">
        <x:v>1</x:v>
      </x:c>
      <x:c r="AB7" s="450" t="n">
        <x:v>8</x:v>
      </x:c>
      <x:c r="AC7" s="450" t="n">
        <x:v>10</x:v>
      </x:c>
      <x:c r="AD7" s="450" t="n">
        <x:v>12</x:v>
      </x:c>
      <x:c r="AE7" s="450" t="str">
        <x:v>Transferencia de valor unitario</x:v>
      </x:c>
      <x:c r="AF7" s="450" t="str">
        <x:v>Estimado</x:v>
      </x:c>
      <x:c r="AG7" s="450"/>
      <x:c r="AH7" s="450" t="str">
        <x:v>Rango del ejemplo</x:v>
      </x:c>
      <x:c r="AI7" s="450" t="str">
        <x:v>septiembre de 2026</x:v>
      </x:c>
      <x:c r="AJ7" s="450" t="str">
        <x:v>No</x:v>
      </x:c>
      <x:c r="AK7" s="450" t="str">
        <x:v>Constante</x:v>
      </x:c>
      <x:c r="AL7" s="450" t="str">
        <x:v>VDEP-EJ05</x:v>
      </x:c>
    </x:row>
    <x:row r="8" ht="22" customHeight="1">
      <x:c r="A8" s="450" t="str">
        <x:v>VDEP-EJ07-B01</x:v>
      </x:c>
      <x:c r="B8" s="450" t="str">
        <x:v>Funciones interinas del árbol-nido</x:v>
      </x:c>
      <x:c r="C8" s="450" t="str">
        <x:v>Bosque no especificado</x:v>
      </x:c>
      <x:c r="D8" s="450" t="str">
        <x:v>Costa Rica</x:v>
      </x:c>
      <x:c r="E8" s="450" t="n">
        <x:v>2026</x:v>
      </x:c>
      <x:c r="F8" s="450" t="str">
        <x:v>CRC</x:v>
      </x:c>
      <x:c r="G8" s="450" t="str">
        <x:v>CRC/caso</x:v>
      </x:c>
      <x:c r="H8" s="451" t="n">
        <x:v>1600000</x:v>
      </x:c>
      <x:c r="I8" s="451" t="n">
        <x:v>2400000</x:v>
      </x:c>
      <x:c r="J8" s="451" t="n">
        <x:v>3200000</x:v>
      </x:c>
      <x:c r="K8" s="450" t="str">
        <x:v>Transferencia de beneficios</x:v>
      </x:c>
      <x:c r="L8" s="450" t="str">
        <x:v>Población silvestre y beneficiarios por definir</x:v>
      </x:c>
      <x:c r="M8" s="450" t="n">
        <x:v>1</x:v>
      </x:c>
      <x:c r="N8" s="450" t="n">
        <x:v>1</x:v>
      </x:c>
      <x:c r="O8" s="450" t="n">
        <x:v>1</x:v>
      </x:c>
      <x:c r="P8" s="505" t="n">
        <x:f>IF(OR($A8="",H8=""),"",H8*M8*N8*O8)</x:f>
        <x:v>1600000</x:v>
      </x:c>
      <x:c r="Q8" s="505" t="n">
        <x:f>IF(OR($A8="",I8=""),"",I8*M8*N8*O8)</x:f>
        <x:v>2400000</x:v>
      </x:c>
      <x:c r="R8" s="505" t="n">
        <x:f>IF(OR($A8="",J8=""),"",J8*M8*N8*O8)</x:f>
        <x:v>3200000</x:v>
      </x:c>
      <x:c r="S8" s="450" t="str">
        <x:v>B</x:v>
      </x:c>
      <x:c r="T8" s="450" t="str">
        <x:v>Media</x:v>
      </x:c>
      <x:c r="U8" s="450" t="str">
        <x:v>Producto 2.1.2, Anexo técnico de ejemplos aplicados VDEP, Ejemplo 7, pp. 17–18 (septiembre de 2026)</x:v>
      </x:c>
      <x:c r="V8" s="450" t="str">
        <x:v>Monto total de funciones no restituidas inmediatamente.</x:v>
      </x:c>
      <x:c r="W8" s="504" t="str">
        <x:f>IF(A8="","",IF(OR(B8="",G8="",Q8="",S8="",T8="",U8=""),"INCOMPLETO",IF(OR(M8&lt;=0,N8&lt;=0,O8&lt;=0),"REVISAR FACTORES",IF(S8="X","EXCLUIDO",IF(OR(T8="Baja",S8="D",S8="E"),"EXPLORATORIO","LISTO")))))</x:f>
        <x:v>LISTO</x:v>
      </x:c>
      <x:c r="X8" s="450" t="n">
        <x:v>1</x:v>
      </x:c>
      <x:c r="Y8" s="450" t="n">
        <x:v>1</x:v>
      </x:c>
      <x:c r="Z8" s="450" t="n">
        <x:v>1</x:v>
      </x:c>
      <x:c r="AA8" s="450" t="n">
        <x:v>1</x:v>
      </x:c>
      <x:c r="AB8" s="450" t="n">
        <x:v>1</x:v>
      </x:c>
      <x:c r="AC8" s="450" t="n">
        <x:v>1</x:v>
      </x:c>
      <x:c r="AD8" s="450" t="n">
        <x:v>1</x:v>
      </x:c>
      <x:c r="AE8" s="450" t="str">
        <x:v>Transferencia de valor unitario</x:v>
      </x:c>
      <x:c r="AF8" s="450" t="str">
        <x:v>Estimado</x:v>
      </x:c>
      <x:c r="AG8" s="450"/>
      <x:c r="AH8" s="450" t="str">
        <x:v>Rango del ejemplo</x:v>
      </x:c>
      <x:c r="AI8" s="450" t="str">
        <x:v>septiembre de 2026</x:v>
      </x:c>
      <x:c r="AJ8" s="450" t="str">
        <x:v>No</x:v>
      </x:c>
      <x:c r="AK8" s="450" t="str">
        <x:v>Constante</x:v>
      </x:c>
      <x:c r="AL8" s="450" t="str">
        <x:v>VDEP-EJ07</x:v>
      </x:c>
    </x:row>
    <x:row r="9" ht="22" customHeight="1">
      <x:c r="A9" s="450" t="str">
        <x:v>VDEP-EJ09-B01</x:v>
      </x:c>
      <x:c r="B9" s="450" t="str">
        <x:v>Servicios interinos de manglar</x:v>
      </x:c>
      <x:c r="C9" s="450" t="str">
        <x:v>Manglar</x:v>
      </x:c>
      <x:c r="D9" s="450" t="str">
        <x:v>Costa Rica</x:v>
      </x:c>
      <x:c r="E9" s="450" t="n">
        <x:v>2026</x:v>
      </x:c>
      <x:c r="F9" s="450" t="str">
        <x:v>CRC</x:v>
      </x:c>
      <x:c r="G9" s="450" t="str">
        <x:v>CRC/caso</x:v>
      </x:c>
      <x:c r="H9" s="451" t="n">
        <x:v>3000000</x:v>
      </x:c>
      <x:c r="I9" s="451" t="n">
        <x:v>4200000</x:v>
      </x:c>
      <x:c r="J9" s="451" t="n">
        <x:v>5500000</x:v>
      </x:c>
      <x:c r="K9" s="450" t="str">
        <x:v>Transferencia de beneficios</x:v>
      </x:c>
      <x:c r="L9" s="450" t="str">
        <x:v>Beneficiarios por definir</x:v>
      </x:c>
      <x:c r="M9" s="450" t="n">
        <x:v>1</x:v>
      </x:c>
      <x:c r="N9" s="450" t="n">
        <x:v>1</x:v>
      </x:c>
      <x:c r="O9" s="450" t="n">
        <x:v>1</x:v>
      </x:c>
      <x:c r="P9" s="505" t="n">
        <x:f>IF(OR($A9="",H9=""),"",H9*M9*N9*O9)</x:f>
        <x:v>3000000</x:v>
      </x:c>
      <x:c r="Q9" s="505" t="n">
        <x:f>IF(OR($A9="",I9=""),"",I9*M9*N9*O9)</x:f>
        <x:v>4200000</x:v>
      </x:c>
      <x:c r="R9" s="505" t="n">
        <x:f>IF(OR($A9="",J9=""),"",J9*M9*N9*O9)</x:f>
        <x:v>5500000</x:v>
      </x:c>
      <x:c r="S9" s="450" t="str">
        <x:v>B</x:v>
      </x:c>
      <x:c r="T9" s="450" t="str">
        <x:v>Media</x:v>
      </x:c>
      <x:c r="U9" s="450" t="str">
        <x:v>Producto 2.1.2, Anexo técnico de ejemplos aplicados VDEP, Ejemplo 9, pp. 21–22 (septiembre de 2026)</x:v>
      </x:c>
      <x:c r="V9" s="450" t="str">
        <x:v>Incluir solo si se acredita la causalidad territorial.</x:v>
      </x:c>
      <x:c r="W9" s="504" t="str">
        <x:f>IF(A9="","",IF(OR(B9="",G9="",Q9="",S9="",T9="",U9=""),"INCOMPLETO",IF(OR(M9&lt;=0,N9&lt;=0,O9&lt;=0),"REVISAR FACTORES",IF(S9="X","EXCLUIDO",IF(OR(T9="Baja",S9="D",S9="E"),"EXPLORATORIO","LISTO")))))</x:f>
        <x:v>LISTO</x:v>
      </x:c>
      <x:c r="X9" s="450" t="n">
        <x:v>1</x:v>
      </x:c>
      <x:c r="Y9" s="450" t="n">
        <x:v>1</x:v>
      </x:c>
      <x:c r="Z9" s="450" t="n">
        <x:v>1</x:v>
      </x:c>
      <x:c r="AA9" s="450" t="n">
        <x:v>1</x:v>
      </x:c>
      <x:c r="AB9" s="450" t="n">
        <x:v>1</x:v>
      </x:c>
      <x:c r="AC9" s="450" t="n">
        <x:v>1</x:v>
      </x:c>
      <x:c r="AD9" s="450" t="n">
        <x:v>1</x:v>
      </x:c>
      <x:c r="AE9" s="450" t="str">
        <x:v>Transferencia de valor unitario</x:v>
      </x:c>
      <x:c r="AF9" s="450" t="str">
        <x:v>Estimado</x:v>
      </x:c>
      <x:c r="AG9" s="450"/>
      <x:c r="AH9" s="450" t="str">
        <x:v>Rango del ejemplo</x:v>
      </x:c>
      <x:c r="AI9" s="450" t="str">
        <x:v>septiembre de 2026</x:v>
      </x:c>
      <x:c r="AJ9" s="450" t="str">
        <x:v>No</x:v>
      </x:c>
      <x:c r="AK9" s="450" t="str">
        <x:v>Constante</x:v>
      </x:c>
      <x:c r="AL9" s="450" t="str">
        <x:v>VDEP-EJ09</x:v>
      </x:c>
    </x:row>
    <x:row r="10" ht="22" customHeight="1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</x:row>
    <x:row r="11" ht="22" customHeigh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</x:row>
    <x:row r="12" ht="22" customHeight="1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</x:row>
    <x:row r="13" ht="22" customHeigh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</x:row>
    <x:row r="14" ht="22" customHeight="1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</x:row>
    <x:row r="15" ht="22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</x:row>
    <x:row r="16" ht="22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</x:row>
    <x:row r="17" ht="22" customHeigh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</x:row>
    <x:row r="18" ht="22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</x:row>
    <x:row r="19" ht="22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</x:row>
    <x:row r="20" ht="22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</x:row>
    <x:row r="21" ht="22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</x:row>
    <x:row r="22" ht="22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</x:row>
    <x:row r="23" ht="22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</x:row>
    <x:row r="24" ht="22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</x:row>
    <x:row r="25" ht="22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</x:row>
    <x:row r="26" ht="22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</x:row>
    <x:row r="27" ht="22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</x:row>
    <x:row r="28" ht="22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</x:row>
    <x:row r="29" ht="22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</x:row>
    <x:row r="30" ht="22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</x:row>
    <x:row r="31" ht="22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</x:row>
    <x:row r="32" ht="22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</x:row>
    <x:row r="33" ht="22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</x:row>
    <x:row r="34" ht="22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</x:row>
    <x:row r="35" ht="22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</x:row>
    <x:row r="36" ht="22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</x:row>
    <x:row r="37" ht="22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</x:row>
    <x:row r="38" ht="22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</x:row>
    <x:row r="39" ht="22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</x:row>
    <x:row r="40" ht="22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</x:row>
    <x:row r="41" ht="22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</x:row>
    <x:row r="42" ht="22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</x:row>
    <x:row r="43" ht="22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</x:row>
    <x:row r="44" ht="22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</x:row>
    <x:row r="45" ht="22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</x:row>
    <x:row r="46" ht="22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</x:row>
    <x:row r="47" ht="22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</x:row>
    <x:row r="48" ht="22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</x:row>
    <x:row r="49" ht="22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</x:row>
    <x:row r="50" ht="22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</x:row>
    <x:row r="51" ht="22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</x:row>
    <x:row r="52" ht="22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</x:row>
    <x:row r="53" ht="22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</x:row>
    <x:row r="54" ht="22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</x:row>
    <x:row r="55" ht="22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</x:row>
    <x:row r="56" ht="22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</x:row>
    <x:row r="57" ht="22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</x:row>
    <x:row r="58" ht="22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</x:row>
    <x:row r="59" ht="22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</x:row>
    <x:row r="60" ht="22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</x:row>
    <x:row r="61" ht="22" customHeight="1">
      <x:c r="A61" s="323"/>
      <x:c r="B61" s="323"/>
      <x:c r="C61" s="323"/>
      <x:c r="D61" s="323"/>
      <x:c r="E61" s="324"/>
      <x:c r="F61" s="323"/>
      <x:c r="G61" s="323"/>
      <x:c r="H61" s="325"/>
      <x:c r="I61" s="325"/>
      <x:c r="J61" s="325"/>
      <x:c r="K61" s="325"/>
      <x:c r="L61" s="325"/>
      <x:c r="M61" s="325"/>
      <x:c r="N61" s="325"/>
      <x:c r="O61" s="325"/>
      <x:c r="P61" s="326" t="str">
        <x:f>IF(OR($A61="",H61=""),"",H61*M61*N61*O61)</x:f>
      </x:c>
      <x:c r="Q61" s="326" t="str">
        <x:f>IF(OR($A61="",I61=""),"",I61*M61*N61*O61)</x:f>
      </x:c>
      <x:c r="R61" s="326" t="str">
        <x:f>IF(OR($A61="",J61=""),"",J61*M61*N61*O61)</x:f>
      </x:c>
      <x:c r="S61" s="323"/>
      <x:c r="T61" s="323"/>
      <x:c r="U61" s="323"/>
      <x:c r="V61" s="323"/>
      <x:c r="W61" s="327" t="str">
        <x:f>IF(A61="","",IF(OR(B61="",G61="",Q61="",S61="",T61="",U61=""),"INCOMPLETO",IF(OR(M61&lt;=0,N61&lt;=0,O61&lt;=0),"REVISAR FACTORES",IF(S61="X","EXCLUIDO",IF(OR(T61="Baja",S61="D"),"EXPLORATORIO","LISTO")))))</x:f>
      </x:c>
      <x:c r="X61" s="257"/>
      <x:c r="Y61" s="257"/>
      <x:c r="Z61" s="257"/>
      <x:c r="AA61" s="257"/>
      <x:c r="AB61" s="257"/>
      <x:c r="AC61" s="257"/>
      <x:c r="AD61" s="257"/>
      <x:c r="AE61" s="257"/>
      <x:c r="AF61" s="257"/>
      <x:c r="AG61" s="257"/>
      <x:c r="AH61" s="257"/>
      <x:c r="AI61" s="257"/>
    </x:row>
    <x:row r="62" ht="22" customHeight="1">
      <x:c r="A62" s="323"/>
      <x:c r="B62" s="323"/>
      <x:c r="C62" s="323"/>
      <x:c r="D62" s="323"/>
      <x:c r="E62" s="324"/>
      <x:c r="F62" s="323"/>
      <x:c r="G62" s="323"/>
      <x:c r="H62" s="325"/>
      <x:c r="I62" s="325"/>
      <x:c r="J62" s="325"/>
      <x:c r="K62" s="325"/>
      <x:c r="L62" s="325"/>
      <x:c r="M62" s="325"/>
      <x:c r="N62" s="325"/>
      <x:c r="O62" s="325"/>
      <x:c r="P62" s="326" t="str">
        <x:f>IF(OR($A62="",H62=""),"",H62*M62*N62*O62)</x:f>
      </x:c>
      <x:c r="Q62" s="326" t="str">
        <x:f>IF(OR($A62="",I62=""),"",I62*M62*N62*O62)</x:f>
      </x:c>
      <x:c r="R62" s="326" t="str">
        <x:f>IF(OR($A62="",J62=""),"",J62*M62*N62*O62)</x:f>
      </x:c>
      <x:c r="S62" s="323"/>
      <x:c r="T62" s="323"/>
      <x:c r="U62" s="323"/>
      <x:c r="V62" s="323"/>
      <x:c r="W62" s="327" t="str">
        <x:f>IF(A62="","",IF(OR(B62="",G62="",Q62="",S62="",T62="",U62=""),"INCOMPLETO",IF(OR(M62&lt;=0,N62&lt;=0,O62&lt;=0),"REVISAR FACTORES",IF(S62="X","EXCLUIDO",IF(OR(T62="Baja",S62="D"),"EXPLORATORIO","LISTO")))))</x:f>
      </x:c>
      <x:c r="X62" s="257"/>
      <x:c r="Y62" s="257"/>
      <x:c r="Z62" s="257"/>
      <x:c r="AA62" s="257"/>
      <x:c r="AB62" s="257"/>
      <x:c r="AC62" s="257"/>
      <x:c r="AD62" s="257"/>
      <x:c r="AE62" s="257"/>
      <x:c r="AF62" s="257"/>
      <x:c r="AG62" s="257"/>
      <x:c r="AH62" s="257"/>
      <x:c r="AI62" s="257"/>
    </x:row>
    <x:row r="63" ht="22" customHeight="1">
      <x:c r="A63" s="323"/>
      <x:c r="B63" s="323"/>
      <x:c r="C63" s="323"/>
      <x:c r="D63" s="323"/>
      <x:c r="E63" s="324"/>
      <x:c r="F63" s="323"/>
      <x:c r="G63" s="323"/>
      <x:c r="H63" s="325"/>
      <x:c r="I63" s="325"/>
      <x:c r="J63" s="325"/>
      <x:c r="K63" s="325"/>
      <x:c r="L63" s="325"/>
      <x:c r="M63" s="325"/>
      <x:c r="N63" s="325"/>
      <x:c r="O63" s="325"/>
      <x:c r="P63" s="326" t="str">
        <x:f>IF(OR($A63="",H63=""),"",H63*M63*N63*O63)</x:f>
      </x:c>
      <x:c r="Q63" s="326" t="str">
        <x:f>IF(OR($A63="",I63=""),"",I63*M63*N63*O63)</x:f>
      </x:c>
      <x:c r="R63" s="326" t="str">
        <x:f>IF(OR($A63="",J63=""),"",J63*M63*N63*O63)</x:f>
      </x:c>
      <x:c r="S63" s="323"/>
      <x:c r="T63" s="323"/>
      <x:c r="U63" s="323"/>
      <x:c r="V63" s="323"/>
      <x:c r="W63" s="327" t="str">
        <x:f>IF(A63="","",IF(OR(B63="",G63="",Q63="",S63="",T63="",U63=""),"INCOMPLETO",IF(OR(M63&lt;=0,N63&lt;=0,O63&lt;=0),"REVISAR FACTORES",IF(S63="X","EXCLUIDO",IF(OR(T63="Baja",S63="D"),"EXPLORATORIO","LISTO")))))</x:f>
      </x:c>
      <x:c r="X63" s="257"/>
      <x:c r="Y63" s="257"/>
      <x:c r="Z63" s="257"/>
      <x:c r="AA63" s="257"/>
      <x:c r="AB63" s="257"/>
      <x:c r="AC63" s="257"/>
      <x:c r="AD63" s="257"/>
      <x:c r="AE63" s="257"/>
      <x:c r="AF63" s="257"/>
      <x:c r="AG63" s="257"/>
      <x:c r="AH63" s="257"/>
      <x:c r="AI63" s="257"/>
    </x:row>
    <x:row r="64" ht="22" customHeight="1">
      <x:c r="A64" s="323"/>
      <x:c r="B64" s="323"/>
      <x:c r="C64" s="323"/>
      <x:c r="D64" s="323"/>
      <x:c r="E64" s="324"/>
      <x:c r="F64" s="323"/>
      <x:c r="G64" s="323"/>
      <x:c r="H64" s="325"/>
      <x:c r="I64" s="325"/>
      <x:c r="J64" s="325"/>
      <x:c r="K64" s="325"/>
      <x:c r="L64" s="325"/>
      <x:c r="M64" s="325"/>
      <x:c r="N64" s="325"/>
      <x:c r="O64" s="325"/>
      <x:c r="P64" s="326" t="str">
        <x:f>IF(OR($A64="",H64=""),"",H64*M64*N64*O64)</x:f>
      </x:c>
      <x:c r="Q64" s="326" t="str">
        <x:f>IF(OR($A64="",I64=""),"",I64*M64*N64*O64)</x:f>
      </x:c>
      <x:c r="R64" s="326" t="str">
        <x:f>IF(OR($A64="",J64=""),"",J64*M64*N64*O64)</x:f>
      </x:c>
      <x:c r="S64" s="323"/>
      <x:c r="T64" s="323"/>
      <x:c r="U64" s="323"/>
      <x:c r="V64" s="323"/>
      <x:c r="W64" s="327" t="str">
        <x:f>IF(A64="","",IF(OR(B64="",G64="",Q64="",S64="",T64="",U64=""),"INCOMPLETO",IF(OR(M64&lt;=0,N64&lt;=0,O64&lt;=0),"REVISAR FACTORES",IF(S64="X","EXCLUIDO",IF(OR(T64="Baja",S64="D"),"EXPLORATORIO","LISTO")))))</x:f>
      </x:c>
      <x:c r="X64" s="257"/>
      <x:c r="Y64" s="257"/>
      <x:c r="Z64" s="257"/>
      <x:c r="AA64" s="257"/>
      <x:c r="AB64" s="257"/>
      <x:c r="AC64" s="257"/>
      <x:c r="AD64" s="257"/>
      <x:c r="AE64" s="257"/>
      <x:c r="AF64" s="257"/>
      <x:c r="AG64" s="257"/>
      <x:c r="AH64" s="257"/>
      <x:c r="AI64" s="257"/>
    </x:row>
    <x:row r="65" ht="22" customHeight="1">
      <x:c r="A65" s="323"/>
      <x:c r="B65" s="323"/>
      <x:c r="C65" s="323"/>
      <x:c r="D65" s="323"/>
      <x:c r="E65" s="324"/>
      <x:c r="F65" s="323"/>
      <x:c r="G65" s="323"/>
      <x:c r="H65" s="325"/>
      <x:c r="I65" s="325"/>
      <x:c r="J65" s="325"/>
      <x:c r="K65" s="325"/>
      <x:c r="L65" s="325"/>
      <x:c r="M65" s="325"/>
      <x:c r="N65" s="325"/>
      <x:c r="O65" s="325"/>
      <x:c r="P65" s="326" t="str">
        <x:f>IF(OR($A65="",H65=""),"",H65*M65*N65*O65)</x:f>
      </x:c>
      <x:c r="Q65" s="326" t="str">
        <x:f>IF(OR($A65="",I65=""),"",I65*M65*N65*O65)</x:f>
      </x:c>
      <x:c r="R65" s="326" t="str">
        <x:f>IF(OR($A65="",J65=""),"",J65*M65*N65*O65)</x:f>
      </x:c>
      <x:c r="S65" s="323"/>
      <x:c r="T65" s="323"/>
      <x:c r="U65" s="323"/>
      <x:c r="V65" s="323"/>
      <x:c r="W65" s="327" t="str">
        <x:f>IF(A65="","",IF(OR(B65="",G65="",Q65="",S65="",T65="",U65=""),"INCOMPLETO",IF(OR(M65&lt;=0,N65&lt;=0,O65&lt;=0),"REVISAR FACTORES",IF(S65="X","EXCLUIDO",IF(OR(T65="Baja",S65="D"),"EXPLORATORIO","LISTO")))))</x:f>
      </x:c>
      <x:c r="X65" s="257"/>
      <x:c r="Y65" s="257"/>
      <x:c r="Z65" s="257"/>
      <x:c r="AA65" s="257"/>
      <x:c r="AB65" s="257"/>
      <x:c r="AC65" s="257"/>
      <x:c r="AD65" s="257"/>
      <x:c r="AE65" s="257"/>
      <x:c r="AF65" s="257"/>
      <x:c r="AG65" s="257"/>
      <x:c r="AH65" s="257"/>
      <x:c r="AI65" s="257"/>
    </x:row>
    <x:row r="66" ht="22" customHeight="1">
      <x:c r="A66" s="323"/>
      <x:c r="B66" s="323"/>
      <x:c r="C66" s="323"/>
      <x:c r="D66" s="323"/>
      <x:c r="E66" s="324"/>
      <x:c r="F66" s="323"/>
      <x:c r="G66" s="323"/>
      <x:c r="H66" s="325"/>
      <x:c r="I66" s="325"/>
      <x:c r="J66" s="325"/>
      <x:c r="K66" s="325"/>
      <x:c r="L66" s="325"/>
      <x:c r="M66" s="325"/>
      <x:c r="N66" s="325"/>
      <x:c r="O66" s="325"/>
      <x:c r="P66" s="326" t="str">
        <x:f>IF(OR($A66="",H66=""),"",H66*M66*N66*O66)</x:f>
      </x:c>
      <x:c r="Q66" s="326" t="str">
        <x:f>IF(OR($A66="",I66=""),"",I66*M66*N66*O66)</x:f>
      </x:c>
      <x:c r="R66" s="326" t="str">
        <x:f>IF(OR($A66="",J66=""),"",J66*M66*N66*O66)</x:f>
      </x:c>
      <x:c r="S66" s="323"/>
      <x:c r="T66" s="323"/>
      <x:c r="U66" s="323"/>
      <x:c r="V66" s="323"/>
      <x:c r="W66" s="327" t="str">
        <x:f>IF(A66="","",IF(OR(B66="",G66="",Q66="",S66="",T66="",U66=""),"INCOMPLETO",IF(OR(M66&lt;=0,N66&lt;=0,O66&lt;=0),"REVISAR FACTORES",IF(S66="X","EXCLUIDO",IF(OR(T66="Baja",S66="D"),"EXPLORATORIO","LISTO")))))</x:f>
      </x:c>
      <x:c r="X66" s="257"/>
      <x:c r="Y66" s="257"/>
      <x:c r="Z66" s="257"/>
      <x:c r="AA66" s="257"/>
      <x:c r="AB66" s="257"/>
      <x:c r="AC66" s="257"/>
      <x:c r="AD66" s="257"/>
      <x:c r="AE66" s="257"/>
      <x:c r="AF66" s="257"/>
      <x:c r="AG66" s="257"/>
      <x:c r="AH66" s="257"/>
      <x:c r="AI66" s="257"/>
    </x:row>
    <x:row r="67" ht="22" customHeight="1">
      <x:c r="A67" s="323"/>
      <x:c r="B67" s="323"/>
      <x:c r="C67" s="323"/>
      <x:c r="D67" s="323"/>
      <x:c r="E67" s="324"/>
      <x:c r="F67" s="323"/>
      <x:c r="G67" s="323"/>
      <x:c r="H67" s="325"/>
      <x:c r="I67" s="325"/>
      <x:c r="J67" s="325"/>
      <x:c r="K67" s="325"/>
      <x:c r="L67" s="325"/>
      <x:c r="M67" s="325"/>
      <x:c r="N67" s="325"/>
      <x:c r="O67" s="325"/>
      <x:c r="P67" s="326" t="str">
        <x:f>IF(OR($A67="",H67=""),"",H67*M67*N67*O67)</x:f>
      </x:c>
      <x:c r="Q67" s="326" t="str">
        <x:f>IF(OR($A67="",I67=""),"",I67*M67*N67*O67)</x:f>
      </x:c>
      <x:c r="R67" s="326" t="str">
        <x:f>IF(OR($A67="",J67=""),"",J67*M67*N67*O67)</x:f>
      </x:c>
      <x:c r="S67" s="323"/>
      <x:c r="T67" s="323"/>
      <x:c r="U67" s="323"/>
      <x:c r="V67" s="323"/>
      <x:c r="W67" s="327" t="str">
        <x:f>IF(A67="","",IF(OR(B67="",G67="",Q67="",S67="",T67="",U67=""),"INCOMPLETO",IF(OR(M67&lt;=0,N67&lt;=0,O67&lt;=0),"REVISAR FACTORES",IF(S67="X","EXCLUIDO",IF(OR(T67="Baja",S67="D"),"EXPLORATORIO","LISTO")))))</x:f>
      </x:c>
      <x:c r="X67" s="257"/>
      <x:c r="Y67" s="257"/>
      <x:c r="Z67" s="257"/>
      <x:c r="AA67" s="257"/>
      <x:c r="AB67" s="257"/>
      <x:c r="AC67" s="257"/>
      <x:c r="AD67" s="257"/>
      <x:c r="AE67" s="257"/>
      <x:c r="AF67" s="257"/>
      <x:c r="AG67" s="257"/>
      <x:c r="AH67" s="257"/>
      <x:c r="AI67" s="257"/>
    </x:row>
    <x:row r="68" ht="22" customHeight="1">
      <x:c r="A68" s="323"/>
      <x:c r="B68" s="323"/>
      <x:c r="C68" s="323"/>
      <x:c r="D68" s="323"/>
      <x:c r="E68" s="324"/>
      <x:c r="F68" s="323"/>
      <x:c r="G68" s="323"/>
      <x:c r="H68" s="325"/>
      <x:c r="I68" s="325"/>
      <x:c r="J68" s="325"/>
      <x:c r="K68" s="325"/>
      <x:c r="L68" s="325"/>
      <x:c r="M68" s="325"/>
      <x:c r="N68" s="325"/>
      <x:c r="O68" s="325"/>
      <x:c r="P68" s="326" t="str">
        <x:f>IF(OR($A68="",H68=""),"",H68*M68*N68*O68)</x:f>
      </x:c>
      <x:c r="Q68" s="326" t="str">
        <x:f>IF(OR($A68="",I68=""),"",I68*M68*N68*O68)</x:f>
      </x:c>
      <x:c r="R68" s="326" t="str">
        <x:f>IF(OR($A68="",J68=""),"",J68*M68*N68*O68)</x:f>
      </x:c>
      <x:c r="S68" s="323"/>
      <x:c r="T68" s="323"/>
      <x:c r="U68" s="323"/>
      <x:c r="V68" s="323"/>
      <x:c r="W68" s="327" t="str">
        <x:f>IF(A68="","",IF(OR(B68="",G68="",Q68="",S68="",T68="",U68=""),"INCOMPLETO",IF(OR(M68&lt;=0,N68&lt;=0,O68&lt;=0),"REVISAR FACTORES",IF(S68="X","EXCLUIDO",IF(OR(T68="Baja",S68="D"),"EXPLORATORIO","LISTO")))))</x:f>
      </x:c>
      <x:c r="X68" s="257"/>
      <x:c r="Y68" s="257"/>
      <x:c r="Z68" s="257"/>
      <x:c r="AA68" s="257"/>
      <x:c r="AB68" s="257"/>
      <x:c r="AC68" s="257"/>
      <x:c r="AD68" s="257"/>
      <x:c r="AE68" s="257"/>
      <x:c r="AF68" s="257"/>
      <x:c r="AG68" s="257"/>
      <x:c r="AH68" s="257"/>
      <x:c r="AI68" s="257"/>
    </x:row>
    <x:row r="69" ht="22" customHeight="1">
      <x:c r="A69" s="323"/>
      <x:c r="B69" s="323"/>
      <x:c r="C69" s="323"/>
      <x:c r="D69" s="323"/>
      <x:c r="E69" s="324"/>
      <x:c r="F69" s="323"/>
      <x:c r="G69" s="323"/>
      <x:c r="H69" s="325"/>
      <x:c r="I69" s="325"/>
      <x:c r="J69" s="325"/>
      <x:c r="K69" s="325"/>
      <x:c r="L69" s="325"/>
      <x:c r="M69" s="325"/>
      <x:c r="N69" s="325"/>
      <x:c r="O69" s="325"/>
      <x:c r="P69" s="326" t="str">
        <x:f>IF(OR($A69="",H69=""),"",H69*M69*N69*O69)</x:f>
      </x:c>
      <x:c r="Q69" s="326" t="str">
        <x:f>IF(OR($A69="",I69=""),"",I69*M69*N69*O69)</x:f>
      </x:c>
      <x:c r="R69" s="326" t="str">
        <x:f>IF(OR($A69="",J69=""),"",J69*M69*N69*O69)</x:f>
      </x:c>
      <x:c r="S69" s="323"/>
      <x:c r="T69" s="323"/>
      <x:c r="U69" s="323"/>
      <x:c r="V69" s="323"/>
      <x:c r="W69" s="327" t="str">
        <x:f>IF(A69="","",IF(OR(B69="",G69="",Q69="",S69="",T69="",U69=""),"INCOMPLETO",IF(OR(M69&lt;=0,N69&lt;=0,O69&lt;=0),"REVISAR FACTORES",IF(S69="X","EXCLUIDO",IF(OR(T69="Baja",S69="D"),"EXPLORATORIO","LISTO")))))</x:f>
      </x:c>
      <x:c r="X69" s="257"/>
      <x:c r="Y69" s="257"/>
      <x:c r="Z69" s="257"/>
      <x:c r="AA69" s="257"/>
      <x:c r="AB69" s="257"/>
      <x:c r="AC69" s="257"/>
      <x:c r="AD69" s="257"/>
      <x:c r="AE69" s="257"/>
      <x:c r="AF69" s="257"/>
      <x:c r="AG69" s="257"/>
      <x:c r="AH69" s="257"/>
      <x:c r="AI69" s="257"/>
    </x:row>
    <x:row r="70" ht="22" customHeight="1">
      <x:c r="A70" s="323"/>
      <x:c r="B70" s="323"/>
      <x:c r="C70" s="323"/>
      <x:c r="D70" s="323"/>
      <x:c r="E70" s="324"/>
      <x:c r="F70" s="323"/>
      <x:c r="G70" s="323"/>
      <x:c r="H70" s="325"/>
      <x:c r="I70" s="325"/>
      <x:c r="J70" s="325"/>
      <x:c r="K70" s="325"/>
      <x:c r="L70" s="325"/>
      <x:c r="M70" s="325"/>
      <x:c r="N70" s="325"/>
      <x:c r="O70" s="325"/>
      <x:c r="P70" s="326" t="str">
        <x:f>IF(OR($A70="",H70=""),"",H70*M70*N70*O70)</x:f>
      </x:c>
      <x:c r="Q70" s="326" t="str">
        <x:f>IF(OR($A70="",I70=""),"",I70*M70*N70*O70)</x:f>
      </x:c>
      <x:c r="R70" s="326" t="str">
        <x:f>IF(OR($A70="",J70=""),"",J70*M70*N70*O70)</x:f>
      </x:c>
      <x:c r="S70" s="323"/>
      <x:c r="T70" s="323"/>
      <x:c r="U70" s="323"/>
      <x:c r="V70" s="323"/>
      <x:c r="W70" s="327" t="str">
        <x:f>IF(A70="","",IF(OR(B70="",G70="",Q70="",S70="",T70="",U70=""),"INCOMPLETO",IF(OR(M70&lt;=0,N70&lt;=0,O70&lt;=0),"REVISAR FACTORES",IF(S70="X","EXCLUIDO",IF(OR(T70="Baja",S70="D"),"EXPLORATORIO","LISTO")))))</x:f>
      </x:c>
      <x:c r="X70" s="257"/>
      <x:c r="Y70" s="257"/>
      <x:c r="Z70" s="257"/>
      <x:c r="AA70" s="257"/>
      <x:c r="AB70" s="257"/>
      <x:c r="AC70" s="257"/>
      <x:c r="AD70" s="257"/>
      <x:c r="AE70" s="257"/>
      <x:c r="AF70" s="257"/>
      <x:c r="AG70" s="257"/>
      <x:c r="AH70" s="257"/>
      <x:c r="AI70" s="257"/>
    </x:row>
    <x:row r="71" ht="22" customHeight="1">
      <x:c r="A71" s="323"/>
      <x:c r="B71" s="323"/>
      <x:c r="C71" s="323"/>
      <x:c r="D71" s="323"/>
      <x:c r="E71" s="324"/>
      <x:c r="F71" s="323"/>
      <x:c r="G71" s="323"/>
      <x:c r="H71" s="325"/>
      <x:c r="I71" s="325"/>
      <x:c r="J71" s="325"/>
      <x:c r="K71" s="325"/>
      <x:c r="L71" s="325"/>
      <x:c r="M71" s="325"/>
      <x:c r="N71" s="325"/>
      <x:c r="O71" s="325"/>
      <x:c r="P71" s="326" t="str">
        <x:f>IF(OR($A71="",H71=""),"",H71*M71*N71*O71)</x:f>
      </x:c>
      <x:c r="Q71" s="326" t="str">
        <x:f>IF(OR($A71="",I71=""),"",I71*M71*N71*O71)</x:f>
      </x:c>
      <x:c r="R71" s="326" t="str">
        <x:f>IF(OR($A71="",J71=""),"",J71*M71*N71*O71)</x:f>
      </x:c>
      <x:c r="S71" s="323"/>
      <x:c r="T71" s="323"/>
      <x:c r="U71" s="323"/>
      <x:c r="V71" s="323"/>
      <x:c r="W71" s="327" t="str">
        <x:f>IF(A71="","",IF(OR(B71="",G71="",Q71="",S71="",T71="",U71=""),"INCOMPLETO",IF(OR(M71&lt;=0,N71&lt;=0,O71&lt;=0),"REVISAR FACTORES",IF(S71="X","EXCLUIDO",IF(OR(T71="Baja",S71="D"),"EXPLORATORIO","LISTO")))))</x:f>
      </x:c>
      <x:c r="X71" s="257"/>
      <x:c r="Y71" s="257"/>
      <x:c r="Z71" s="257"/>
      <x:c r="AA71" s="257"/>
      <x:c r="AB71" s="257"/>
      <x:c r="AC71" s="257"/>
      <x:c r="AD71" s="257"/>
      <x:c r="AE71" s="257"/>
      <x:c r="AF71" s="257"/>
      <x:c r="AG71" s="257"/>
      <x:c r="AH71" s="257"/>
      <x:c r="AI71" s="257"/>
    </x:row>
    <x:row r="72" ht="22" customHeight="1">
      <x:c r="A72" s="323"/>
      <x:c r="B72" s="323"/>
      <x:c r="C72" s="323"/>
      <x:c r="D72" s="323"/>
      <x:c r="E72" s="324"/>
      <x:c r="F72" s="323"/>
      <x:c r="G72" s="323"/>
      <x:c r="H72" s="325"/>
      <x:c r="I72" s="325"/>
      <x:c r="J72" s="325"/>
      <x:c r="K72" s="325"/>
      <x:c r="L72" s="325"/>
      <x:c r="M72" s="325"/>
      <x:c r="N72" s="325"/>
      <x:c r="O72" s="325"/>
      <x:c r="P72" s="326" t="str">
        <x:f>IF(OR($A72="",H72=""),"",H72*M72*N72*O72)</x:f>
      </x:c>
      <x:c r="Q72" s="326" t="str">
        <x:f>IF(OR($A72="",I72=""),"",I72*M72*N72*O72)</x:f>
      </x:c>
      <x:c r="R72" s="326" t="str">
        <x:f>IF(OR($A72="",J72=""),"",J72*M72*N72*O72)</x:f>
      </x:c>
      <x:c r="S72" s="323"/>
      <x:c r="T72" s="323"/>
      <x:c r="U72" s="323"/>
      <x:c r="V72" s="323"/>
      <x:c r="W72" s="327" t="str">
        <x:f>IF(A72="","",IF(OR(B72="",G72="",Q72="",S72="",T72="",U72=""),"INCOMPLETO",IF(OR(M72&lt;=0,N72&lt;=0,O72&lt;=0),"REVISAR FACTORES",IF(S72="X","EXCLUIDO",IF(OR(T72="Baja",S72="D"),"EXPLORATORIO","LISTO")))))</x:f>
      </x:c>
      <x:c r="X72" s="257"/>
      <x:c r="Y72" s="257"/>
      <x:c r="Z72" s="257"/>
      <x:c r="AA72" s="257"/>
      <x:c r="AB72" s="257"/>
      <x:c r="AC72" s="257"/>
      <x:c r="AD72" s="257"/>
      <x:c r="AE72" s="257"/>
      <x:c r="AF72" s="257"/>
      <x:c r="AG72" s="257"/>
      <x:c r="AH72" s="257"/>
      <x:c r="AI72" s="257"/>
    </x:row>
    <x:row r="73" ht="22" customHeight="1">
      <x:c r="A73" s="323"/>
      <x:c r="B73" s="323"/>
      <x:c r="C73" s="323"/>
      <x:c r="D73" s="323"/>
      <x:c r="E73" s="324"/>
      <x:c r="F73" s="323"/>
      <x:c r="G73" s="323"/>
      <x:c r="H73" s="325"/>
      <x:c r="I73" s="325"/>
      <x:c r="J73" s="325"/>
      <x:c r="K73" s="325"/>
      <x:c r="L73" s="325"/>
      <x:c r="M73" s="325"/>
      <x:c r="N73" s="325"/>
      <x:c r="O73" s="325"/>
      <x:c r="P73" s="326" t="str">
        <x:f>IF(OR($A73="",H73=""),"",H73*M73*N73*O73)</x:f>
      </x:c>
      <x:c r="Q73" s="326" t="str">
        <x:f>IF(OR($A73="",I73=""),"",I73*M73*N73*O73)</x:f>
      </x:c>
      <x:c r="R73" s="326" t="str">
        <x:f>IF(OR($A73="",J73=""),"",J73*M73*N73*O73)</x:f>
      </x:c>
      <x:c r="S73" s="323"/>
      <x:c r="T73" s="323"/>
      <x:c r="U73" s="323"/>
      <x:c r="V73" s="323"/>
      <x:c r="W73" s="327" t="str">
        <x:f>IF(A73="","",IF(OR(B73="",G73="",Q73="",S73="",T73="",U73=""),"INCOMPLETO",IF(OR(M73&lt;=0,N73&lt;=0,O73&lt;=0),"REVISAR FACTORES",IF(S73="X","EXCLUIDO",IF(OR(T73="Baja",S73="D"),"EXPLORATORIO","LISTO")))))</x:f>
      </x:c>
      <x:c r="X73" s="257"/>
      <x:c r="Y73" s="257"/>
      <x:c r="Z73" s="257"/>
      <x:c r="AA73" s="257"/>
      <x:c r="AB73" s="257"/>
      <x:c r="AC73" s="257"/>
      <x:c r="AD73" s="257"/>
      <x:c r="AE73" s="257"/>
      <x:c r="AF73" s="257"/>
      <x:c r="AG73" s="257"/>
      <x:c r="AH73" s="257"/>
      <x:c r="AI73" s="257"/>
    </x:row>
    <x:row r="74" ht="22" customHeight="1">
      <x:c r="A74" s="323"/>
      <x:c r="B74" s="323"/>
      <x:c r="C74" s="323"/>
      <x:c r="D74" s="323"/>
      <x:c r="E74" s="324"/>
      <x:c r="F74" s="323"/>
      <x:c r="G74" s="323"/>
      <x:c r="H74" s="325"/>
      <x:c r="I74" s="325"/>
      <x:c r="J74" s="325"/>
      <x:c r="K74" s="325"/>
      <x:c r="L74" s="325"/>
      <x:c r="M74" s="325"/>
      <x:c r="N74" s="325"/>
      <x:c r="O74" s="325"/>
      <x:c r="P74" s="326" t="str">
        <x:f>IF(OR($A74="",H74=""),"",H74*M74*N74*O74)</x:f>
      </x:c>
      <x:c r="Q74" s="326" t="str">
        <x:f>IF(OR($A74="",I74=""),"",I74*M74*N74*O74)</x:f>
      </x:c>
      <x:c r="R74" s="326" t="str">
        <x:f>IF(OR($A74="",J74=""),"",J74*M74*N74*O74)</x:f>
      </x:c>
      <x:c r="S74" s="323"/>
      <x:c r="T74" s="323"/>
      <x:c r="U74" s="323"/>
      <x:c r="V74" s="323"/>
      <x:c r="W74" s="327" t="str">
        <x:f>IF(A74="","",IF(OR(B74="",G74="",Q74="",S74="",T74="",U74=""),"INCOMPLETO",IF(OR(M74&lt;=0,N74&lt;=0,O74&lt;=0),"REVISAR FACTORES",IF(S74="X","EXCLUIDO",IF(OR(T74="Baja",S74="D"),"EXPLORATORIO","LISTO")))))</x:f>
      </x:c>
      <x:c r="X74" s="257"/>
      <x:c r="Y74" s="257"/>
      <x:c r="Z74" s="257"/>
      <x:c r="AA74" s="257"/>
      <x:c r="AB74" s="257"/>
      <x:c r="AC74" s="257"/>
      <x:c r="AD74" s="257"/>
      <x:c r="AE74" s="257"/>
      <x:c r="AF74" s="257"/>
      <x:c r="AG74" s="257"/>
      <x:c r="AH74" s="257"/>
      <x:c r="AI74" s="257"/>
    </x:row>
    <x:row r="75" ht="22" customHeight="1">
      <x:c r="A75" s="323"/>
      <x:c r="B75" s="323"/>
      <x:c r="C75" s="323"/>
      <x:c r="D75" s="323"/>
      <x:c r="E75" s="324"/>
      <x:c r="F75" s="323"/>
      <x:c r="G75" s="323"/>
      <x:c r="H75" s="325"/>
      <x:c r="I75" s="325"/>
      <x:c r="J75" s="325"/>
      <x:c r="K75" s="325"/>
      <x:c r="L75" s="325"/>
      <x:c r="M75" s="325"/>
      <x:c r="N75" s="325"/>
      <x:c r="O75" s="325"/>
      <x:c r="P75" s="326" t="str">
        <x:f>IF(OR($A75="",H75=""),"",H75*M75*N75*O75)</x:f>
      </x:c>
      <x:c r="Q75" s="326" t="str">
        <x:f>IF(OR($A75="",I75=""),"",I75*M75*N75*O75)</x:f>
      </x:c>
      <x:c r="R75" s="326" t="str">
        <x:f>IF(OR($A75="",J75=""),"",J75*M75*N75*O75)</x:f>
      </x:c>
      <x:c r="S75" s="323"/>
      <x:c r="T75" s="323"/>
      <x:c r="U75" s="323"/>
      <x:c r="V75" s="323"/>
      <x:c r="W75" s="327" t="str">
        <x:f>IF(A75="","",IF(OR(B75="",G75="",Q75="",S75="",T75="",U75=""),"INCOMPLETO",IF(OR(M75&lt;=0,N75&lt;=0,O75&lt;=0),"REVISAR FACTORES",IF(S75="X","EXCLUIDO",IF(OR(T75="Baja",S75="D"),"EXPLORATORIO","LISTO")))))</x:f>
      </x:c>
      <x:c r="X75" s="257"/>
      <x:c r="Y75" s="257"/>
      <x:c r="Z75" s="257"/>
      <x:c r="AA75" s="257"/>
      <x:c r="AB75" s="257"/>
      <x:c r="AC75" s="257"/>
      <x:c r="AD75" s="257"/>
      <x:c r="AE75" s="257"/>
      <x:c r="AF75" s="257"/>
      <x:c r="AG75" s="257"/>
      <x:c r="AH75" s="257"/>
      <x:c r="AI75" s="257"/>
    </x:row>
    <x:row r="76" ht="22" customHeight="1">
      <x:c r="A76" s="323"/>
      <x:c r="B76" s="323"/>
      <x:c r="C76" s="323"/>
      <x:c r="D76" s="323"/>
      <x:c r="E76" s="324"/>
      <x:c r="F76" s="323"/>
      <x:c r="G76" s="323"/>
      <x:c r="H76" s="325"/>
      <x:c r="I76" s="325"/>
      <x:c r="J76" s="325"/>
      <x:c r="K76" s="325"/>
      <x:c r="L76" s="325"/>
      <x:c r="M76" s="325"/>
      <x:c r="N76" s="325"/>
      <x:c r="O76" s="325"/>
      <x:c r="P76" s="326" t="str">
        <x:f>IF(OR($A76="",H76=""),"",H76*M76*N76*O76)</x:f>
      </x:c>
      <x:c r="Q76" s="326" t="str">
        <x:f>IF(OR($A76="",I76=""),"",I76*M76*N76*O76)</x:f>
      </x:c>
      <x:c r="R76" s="326" t="str">
        <x:f>IF(OR($A76="",J76=""),"",J76*M76*N76*O76)</x:f>
      </x:c>
      <x:c r="S76" s="323"/>
      <x:c r="T76" s="323"/>
      <x:c r="U76" s="323"/>
      <x:c r="V76" s="323"/>
      <x:c r="W76" s="327" t="str">
        <x:f>IF(A76="","",IF(OR(B76="",G76="",Q76="",S76="",T76="",U76=""),"INCOMPLETO",IF(OR(M76&lt;=0,N76&lt;=0,O76&lt;=0),"REVISAR FACTORES",IF(S76="X","EXCLUIDO",IF(OR(T76="Baja",S76="D"),"EXPLORATORIO","LISTO")))))</x:f>
      </x:c>
      <x:c r="X76" s="257"/>
      <x:c r="Y76" s="257"/>
      <x:c r="Z76" s="257"/>
      <x:c r="AA76" s="257"/>
      <x:c r="AB76" s="257"/>
      <x:c r="AC76" s="257"/>
      <x:c r="AD76" s="257"/>
      <x:c r="AE76" s="257"/>
      <x:c r="AF76" s="257"/>
      <x:c r="AG76" s="257"/>
      <x:c r="AH76" s="257"/>
      <x:c r="AI76" s="257"/>
    </x:row>
    <x:row r="77" ht="22" customHeight="1">
      <x:c r="A77" s="323"/>
      <x:c r="B77" s="323"/>
      <x:c r="C77" s="323"/>
      <x:c r="D77" s="323"/>
      <x:c r="E77" s="324"/>
      <x:c r="F77" s="323"/>
      <x:c r="G77" s="323"/>
      <x:c r="H77" s="325"/>
      <x:c r="I77" s="325"/>
      <x:c r="J77" s="325"/>
      <x:c r="K77" s="325"/>
      <x:c r="L77" s="325"/>
      <x:c r="M77" s="325"/>
      <x:c r="N77" s="325"/>
      <x:c r="O77" s="325"/>
      <x:c r="P77" s="326" t="str">
        <x:f>IF(OR($A77="",H77=""),"",H77*M77*N77*O77)</x:f>
      </x:c>
      <x:c r="Q77" s="326" t="str">
        <x:f>IF(OR($A77="",I77=""),"",I77*M77*N77*O77)</x:f>
      </x:c>
      <x:c r="R77" s="326" t="str">
        <x:f>IF(OR($A77="",J77=""),"",J77*M77*N77*O77)</x:f>
      </x:c>
      <x:c r="S77" s="323"/>
      <x:c r="T77" s="323"/>
      <x:c r="U77" s="323"/>
      <x:c r="V77" s="323"/>
      <x:c r="W77" s="327" t="str">
        <x:f>IF(A77="","",IF(OR(B77="",G77="",Q77="",S77="",T77="",U77=""),"INCOMPLETO",IF(OR(M77&lt;=0,N77&lt;=0,O77&lt;=0),"REVISAR FACTORES",IF(S77="X","EXCLUIDO",IF(OR(T77="Baja",S77="D"),"EXPLORATORIO","LISTO")))))</x:f>
      </x:c>
      <x:c r="X77" s="257"/>
      <x:c r="Y77" s="257"/>
      <x:c r="Z77" s="257"/>
      <x:c r="AA77" s="257"/>
      <x:c r="AB77" s="257"/>
      <x:c r="AC77" s="257"/>
      <x:c r="AD77" s="257"/>
      <x:c r="AE77" s="257"/>
      <x:c r="AF77" s="257"/>
      <x:c r="AG77" s="257"/>
      <x:c r="AH77" s="257"/>
      <x:c r="AI77" s="257"/>
    </x:row>
    <x:row r="78" ht="22" customHeight="1">
      <x:c r="A78" s="323"/>
      <x:c r="B78" s="323"/>
      <x:c r="C78" s="323"/>
      <x:c r="D78" s="323"/>
      <x:c r="E78" s="324"/>
      <x:c r="F78" s="323"/>
      <x:c r="G78" s="323"/>
      <x:c r="H78" s="325"/>
      <x:c r="I78" s="325"/>
      <x:c r="J78" s="325"/>
      <x:c r="K78" s="325"/>
      <x:c r="L78" s="325"/>
      <x:c r="M78" s="325"/>
      <x:c r="N78" s="325"/>
      <x:c r="O78" s="325"/>
      <x:c r="P78" s="326" t="str">
        <x:f>IF(OR($A78="",H78=""),"",H78*M78*N78*O78)</x:f>
      </x:c>
      <x:c r="Q78" s="326" t="str">
        <x:f>IF(OR($A78="",I78=""),"",I78*M78*N78*O78)</x:f>
      </x:c>
      <x:c r="R78" s="326" t="str">
        <x:f>IF(OR($A78="",J78=""),"",J78*M78*N78*O78)</x:f>
      </x:c>
      <x:c r="S78" s="323"/>
      <x:c r="T78" s="323"/>
      <x:c r="U78" s="323"/>
      <x:c r="V78" s="323"/>
      <x:c r="W78" s="327" t="str">
        <x:f>IF(A78="","",IF(OR(B78="",G78="",Q78="",S78="",T78="",U78=""),"INCOMPLETO",IF(OR(M78&lt;=0,N78&lt;=0,O78&lt;=0),"REVISAR FACTORES",IF(S78="X","EXCLUIDO",IF(OR(T78="Baja",S78="D"),"EXPLORATORIO","LISTO")))))</x:f>
      </x:c>
      <x:c r="X78" s="257"/>
      <x:c r="Y78" s="257"/>
      <x:c r="Z78" s="257"/>
      <x:c r="AA78" s="257"/>
      <x:c r="AB78" s="257"/>
      <x:c r="AC78" s="257"/>
      <x:c r="AD78" s="257"/>
      <x:c r="AE78" s="257"/>
      <x:c r="AF78" s="257"/>
      <x:c r="AG78" s="257"/>
      <x:c r="AH78" s="257"/>
      <x:c r="AI78" s="257"/>
    </x:row>
    <x:row r="79" ht="22" customHeight="1">
      <x:c r="A79" s="323"/>
      <x:c r="B79" s="323"/>
      <x:c r="C79" s="323"/>
      <x:c r="D79" s="323"/>
      <x:c r="E79" s="324"/>
      <x:c r="F79" s="323"/>
      <x:c r="G79" s="323"/>
      <x:c r="H79" s="325"/>
      <x:c r="I79" s="325"/>
      <x:c r="J79" s="325"/>
      <x:c r="K79" s="325"/>
      <x:c r="L79" s="325"/>
      <x:c r="M79" s="325"/>
      <x:c r="N79" s="325"/>
      <x:c r="O79" s="325"/>
      <x:c r="P79" s="326" t="str">
        <x:f>IF(OR($A79="",H79=""),"",H79*M79*N79*O79)</x:f>
      </x:c>
      <x:c r="Q79" s="326" t="str">
        <x:f>IF(OR($A79="",I79=""),"",I79*M79*N79*O79)</x:f>
      </x:c>
      <x:c r="R79" s="326" t="str">
        <x:f>IF(OR($A79="",J79=""),"",J79*M79*N79*O79)</x:f>
      </x:c>
      <x:c r="S79" s="323"/>
      <x:c r="T79" s="323"/>
      <x:c r="U79" s="323"/>
      <x:c r="V79" s="323"/>
      <x:c r="W79" s="327" t="str">
        <x:f>IF(A79="","",IF(OR(B79="",G79="",Q79="",S79="",T79="",U79=""),"INCOMPLETO",IF(OR(M79&lt;=0,N79&lt;=0,O79&lt;=0),"REVISAR FACTORES",IF(S79="X","EXCLUIDO",IF(OR(T79="Baja",S79="D"),"EXPLORATORIO","LISTO")))))</x:f>
      </x:c>
      <x:c r="X79" s="257"/>
      <x:c r="Y79" s="257"/>
      <x:c r="Z79" s="257"/>
      <x:c r="AA79" s="257"/>
      <x:c r="AB79" s="257"/>
      <x:c r="AC79" s="257"/>
      <x:c r="AD79" s="257"/>
      <x:c r="AE79" s="257"/>
      <x:c r="AF79" s="257"/>
      <x:c r="AG79" s="257"/>
      <x:c r="AH79" s="257"/>
      <x:c r="AI79" s="257"/>
    </x:row>
    <x:row r="80" ht="22" customHeight="1">
      <x:c r="A80" s="323"/>
      <x:c r="B80" s="323"/>
      <x:c r="C80" s="323"/>
      <x:c r="D80" s="323"/>
      <x:c r="E80" s="324"/>
      <x:c r="F80" s="323"/>
      <x:c r="G80" s="323"/>
      <x:c r="H80" s="325"/>
      <x:c r="I80" s="325"/>
      <x:c r="J80" s="325"/>
      <x:c r="K80" s="325"/>
      <x:c r="L80" s="325"/>
      <x:c r="M80" s="325"/>
      <x:c r="N80" s="325"/>
      <x:c r="O80" s="325"/>
      <x:c r="P80" s="326" t="str">
        <x:f>IF(OR($A80="",H80=""),"",H80*M80*N80*O80)</x:f>
      </x:c>
      <x:c r="Q80" s="326" t="str">
        <x:f>IF(OR($A80="",I80=""),"",I80*M80*N80*O80)</x:f>
      </x:c>
      <x:c r="R80" s="326" t="str">
        <x:f>IF(OR($A80="",J80=""),"",J80*M80*N80*O80)</x:f>
      </x:c>
      <x:c r="S80" s="323"/>
      <x:c r="T80" s="323"/>
      <x:c r="U80" s="323"/>
      <x:c r="V80" s="323"/>
      <x:c r="W80" s="327" t="str">
        <x:f>IF(A80="","",IF(OR(B80="",G80="",Q80="",S80="",T80="",U80=""),"INCOMPLETO",IF(OR(M80&lt;=0,N80&lt;=0,O80&lt;=0),"REVISAR FACTORES",IF(S80="X","EXCLUIDO",IF(OR(T80="Baja",S80="D"),"EXPLORATORIO","LISTO")))))</x:f>
      </x:c>
      <x:c r="X80" s="257"/>
      <x:c r="Y80" s="257"/>
      <x:c r="Z80" s="257"/>
      <x:c r="AA80" s="257"/>
      <x:c r="AB80" s="257"/>
      <x:c r="AC80" s="257"/>
      <x:c r="AD80" s="257"/>
      <x:c r="AE80" s="257"/>
      <x:c r="AF80" s="257"/>
      <x:c r="AG80" s="257"/>
      <x:c r="AH80" s="257"/>
      <x:c r="AI80" s="257"/>
    </x:row>
    <x:row r="81" ht="22" customHeight="1">
      <x:c r="A81" s="323"/>
      <x:c r="B81" s="323"/>
      <x:c r="C81" s="323"/>
      <x:c r="D81" s="323"/>
      <x:c r="E81" s="324"/>
      <x:c r="F81" s="323"/>
      <x:c r="G81" s="323"/>
      <x:c r="H81" s="325"/>
      <x:c r="I81" s="325"/>
      <x:c r="J81" s="325"/>
      <x:c r="K81" s="325"/>
      <x:c r="L81" s="325"/>
      <x:c r="M81" s="325"/>
      <x:c r="N81" s="325"/>
      <x:c r="O81" s="325"/>
      <x:c r="P81" s="326" t="str">
        <x:f>IF(OR($A81="",H81=""),"",H81*M81*N81*O81)</x:f>
      </x:c>
      <x:c r="Q81" s="326" t="str">
        <x:f>IF(OR($A81="",I81=""),"",I81*M81*N81*O81)</x:f>
      </x:c>
      <x:c r="R81" s="326" t="str">
        <x:f>IF(OR($A81="",J81=""),"",J81*M81*N81*O81)</x:f>
      </x:c>
      <x:c r="S81" s="323"/>
      <x:c r="T81" s="323"/>
      <x:c r="U81" s="323"/>
      <x:c r="V81" s="323"/>
      <x:c r="W81" s="327" t="str">
        <x:f>IF(A81="","",IF(OR(B81="",G81="",Q81="",S81="",T81="",U81=""),"INCOMPLETO",IF(OR(M81&lt;=0,N81&lt;=0,O81&lt;=0),"REVISAR FACTORES",IF(S81="X","EXCLUIDO",IF(OR(T81="Baja",S81="D"),"EXPLORATORIO","LISTO")))))</x:f>
      </x:c>
      <x:c r="X81" s="257"/>
      <x:c r="Y81" s="257"/>
      <x:c r="Z81" s="257"/>
      <x:c r="AA81" s="257"/>
      <x:c r="AB81" s="257"/>
      <x:c r="AC81" s="257"/>
      <x:c r="AD81" s="257"/>
      <x:c r="AE81" s="257"/>
      <x:c r="AF81" s="257"/>
      <x:c r="AG81" s="257"/>
      <x:c r="AH81" s="257"/>
      <x:c r="AI81" s="257"/>
    </x:row>
    <x:row r="82" ht="22" customHeight="1">
      <x:c r="A82" s="323"/>
      <x:c r="B82" s="323"/>
      <x:c r="C82" s="323"/>
      <x:c r="D82" s="323"/>
      <x:c r="E82" s="324"/>
      <x:c r="F82" s="323"/>
      <x:c r="G82" s="323"/>
      <x:c r="H82" s="325"/>
      <x:c r="I82" s="325"/>
      <x:c r="J82" s="325"/>
      <x:c r="K82" s="325"/>
      <x:c r="L82" s="325"/>
      <x:c r="M82" s="325"/>
      <x:c r="N82" s="325"/>
      <x:c r="O82" s="325"/>
      <x:c r="P82" s="326" t="str">
        <x:f>IF(OR($A82="",H82=""),"",H82*M82*N82*O82)</x:f>
      </x:c>
      <x:c r="Q82" s="326" t="str">
        <x:f>IF(OR($A82="",I82=""),"",I82*M82*N82*O82)</x:f>
      </x:c>
      <x:c r="R82" s="326" t="str">
        <x:f>IF(OR($A82="",J82=""),"",J82*M82*N82*O82)</x:f>
      </x:c>
      <x:c r="S82" s="323"/>
      <x:c r="T82" s="323"/>
      <x:c r="U82" s="323"/>
      <x:c r="V82" s="323"/>
      <x:c r="W82" s="327" t="str">
        <x:f>IF(A82="","",IF(OR(B82="",G82="",Q82="",S82="",T82="",U82=""),"INCOMPLETO",IF(OR(M82&lt;=0,N82&lt;=0,O82&lt;=0),"REVISAR FACTORES",IF(S82="X","EXCLUIDO",IF(OR(T82="Baja",S82="D"),"EXPLORATORIO","LISTO")))))</x:f>
      </x:c>
      <x:c r="X82" s="257"/>
      <x:c r="Y82" s="257"/>
      <x:c r="Z82" s="257"/>
      <x:c r="AA82" s="257"/>
      <x:c r="AB82" s="257"/>
      <x:c r="AC82" s="257"/>
      <x:c r="AD82" s="257"/>
      <x:c r="AE82" s="257"/>
      <x:c r="AF82" s="257"/>
      <x:c r="AG82" s="257"/>
      <x:c r="AH82" s="257"/>
      <x:c r="AI82" s="257"/>
    </x:row>
    <x:row r="83" ht="22" customHeight="1">
      <x:c r="A83" s="323"/>
      <x:c r="B83" s="323"/>
      <x:c r="C83" s="323"/>
      <x:c r="D83" s="323"/>
      <x:c r="E83" s="324"/>
      <x:c r="F83" s="323"/>
      <x:c r="G83" s="323"/>
      <x:c r="H83" s="325"/>
      <x:c r="I83" s="325"/>
      <x:c r="J83" s="325"/>
      <x:c r="K83" s="325"/>
      <x:c r="L83" s="325"/>
      <x:c r="M83" s="325"/>
      <x:c r="N83" s="325"/>
      <x:c r="O83" s="325"/>
      <x:c r="P83" s="326" t="str">
        <x:f>IF(OR($A83="",H83=""),"",H83*M83*N83*O83)</x:f>
      </x:c>
      <x:c r="Q83" s="326" t="str">
        <x:f>IF(OR($A83="",I83=""),"",I83*M83*N83*O83)</x:f>
      </x:c>
      <x:c r="R83" s="326" t="str">
        <x:f>IF(OR($A83="",J83=""),"",J83*M83*N83*O83)</x:f>
      </x:c>
      <x:c r="S83" s="323"/>
      <x:c r="T83" s="323"/>
      <x:c r="U83" s="323"/>
      <x:c r="V83" s="323"/>
      <x:c r="W83" s="327" t="str">
        <x:f>IF(A83="","",IF(OR(B83="",G83="",Q83="",S83="",T83="",U83=""),"INCOMPLETO",IF(OR(M83&lt;=0,N83&lt;=0,O83&lt;=0),"REVISAR FACTORES",IF(S83="X","EXCLUIDO",IF(OR(T83="Baja",S83="D"),"EXPLORATORIO","LISTO")))))</x:f>
      </x:c>
      <x:c r="X83" s="257"/>
      <x:c r="Y83" s="257"/>
      <x:c r="Z83" s="257"/>
      <x:c r="AA83" s="257"/>
      <x:c r="AB83" s="257"/>
      <x:c r="AC83" s="257"/>
      <x:c r="AD83" s="257"/>
      <x:c r="AE83" s="257"/>
      <x:c r="AF83" s="257"/>
      <x:c r="AG83" s="257"/>
      <x:c r="AH83" s="257"/>
      <x:c r="AI83" s="257"/>
    </x:row>
    <x:row r="84" ht="22" customHeight="1">
      <x:c r="A84" s="323"/>
      <x:c r="B84" s="323"/>
      <x:c r="C84" s="323"/>
      <x:c r="D84" s="323"/>
      <x:c r="E84" s="324"/>
      <x:c r="F84" s="323"/>
      <x:c r="G84" s="323"/>
      <x:c r="H84" s="325"/>
      <x:c r="I84" s="325"/>
      <x:c r="J84" s="325"/>
      <x:c r="K84" s="325"/>
      <x:c r="L84" s="325"/>
      <x:c r="M84" s="325"/>
      <x:c r="N84" s="325"/>
      <x:c r="O84" s="325"/>
      <x:c r="P84" s="326" t="str">
        <x:f>IF(OR($A84="",H84=""),"",H84*M84*N84*O84)</x:f>
      </x:c>
      <x:c r="Q84" s="326" t="str">
        <x:f>IF(OR($A84="",I84=""),"",I84*M84*N84*O84)</x:f>
      </x:c>
      <x:c r="R84" s="326" t="str">
        <x:f>IF(OR($A84="",J84=""),"",J84*M84*N84*O84)</x:f>
      </x:c>
      <x:c r="S84" s="323"/>
      <x:c r="T84" s="323"/>
      <x:c r="U84" s="323"/>
      <x:c r="V84" s="323"/>
      <x:c r="W84" s="327" t="str">
        <x:f>IF(A84="","",IF(OR(B84="",G84="",Q84="",S84="",T84="",U84=""),"INCOMPLETO",IF(OR(M84&lt;=0,N84&lt;=0,O84&lt;=0),"REVISAR FACTORES",IF(S84="X","EXCLUIDO",IF(OR(T84="Baja",S84="D"),"EXPLORATORIO","LISTO")))))</x:f>
      </x:c>
      <x:c r="X84" s="257"/>
      <x:c r="Y84" s="257"/>
      <x:c r="Z84" s="257"/>
      <x:c r="AA84" s="257"/>
      <x:c r="AB84" s="257"/>
      <x:c r="AC84" s="257"/>
      <x:c r="AD84" s="257"/>
      <x:c r="AE84" s="257"/>
      <x:c r="AF84" s="257"/>
      <x:c r="AG84" s="257"/>
      <x:c r="AH84" s="257"/>
      <x:c r="AI84" s="257"/>
    </x:row>
    <x:row r="85" ht="22" customHeight="1">
      <x:c r="A85" s="323"/>
      <x:c r="B85" s="323"/>
      <x:c r="C85" s="323"/>
      <x:c r="D85" s="323"/>
      <x:c r="E85" s="324"/>
      <x:c r="F85" s="323"/>
      <x:c r="G85" s="323"/>
      <x:c r="H85" s="325"/>
      <x:c r="I85" s="325"/>
      <x:c r="J85" s="325"/>
      <x:c r="K85" s="325"/>
      <x:c r="L85" s="325"/>
      <x:c r="M85" s="325"/>
      <x:c r="N85" s="325"/>
      <x:c r="O85" s="325"/>
      <x:c r="P85" s="326" t="str">
        <x:f>IF(OR($A85="",H85=""),"",H85*M85*N85*O85)</x:f>
      </x:c>
      <x:c r="Q85" s="326" t="str">
        <x:f>IF(OR($A85="",I85=""),"",I85*M85*N85*O85)</x:f>
      </x:c>
      <x:c r="R85" s="326" t="str">
        <x:f>IF(OR($A85="",J85=""),"",J85*M85*N85*O85)</x:f>
      </x:c>
      <x:c r="S85" s="323"/>
      <x:c r="T85" s="323"/>
      <x:c r="U85" s="323"/>
      <x:c r="V85" s="323"/>
      <x:c r="W85" s="327" t="str">
        <x:f>IF(A85="","",IF(OR(B85="",G85="",Q85="",S85="",T85="",U85=""),"INCOMPLETO",IF(OR(M85&lt;=0,N85&lt;=0,O85&lt;=0),"REVISAR FACTORES",IF(S85="X","EXCLUIDO",IF(OR(T85="Baja",S85="D"),"EXPLORATORIO","LISTO")))))</x:f>
      </x:c>
      <x:c r="X85" s="257"/>
      <x:c r="Y85" s="257"/>
      <x:c r="Z85" s="257"/>
      <x:c r="AA85" s="257"/>
      <x:c r="AB85" s="257"/>
      <x:c r="AC85" s="257"/>
      <x:c r="AD85" s="257"/>
      <x:c r="AE85" s="257"/>
      <x:c r="AF85" s="257"/>
      <x:c r="AG85" s="257"/>
      <x:c r="AH85" s="257"/>
      <x:c r="AI85" s="257"/>
    </x:row>
    <x:row r="86" ht="22" customHeight="1">
      <x:c r="A86" s="323"/>
      <x:c r="B86" s="323"/>
      <x:c r="C86" s="323"/>
      <x:c r="D86" s="323"/>
      <x:c r="E86" s="324"/>
      <x:c r="F86" s="323"/>
      <x:c r="G86" s="323"/>
      <x:c r="H86" s="325"/>
      <x:c r="I86" s="325"/>
      <x:c r="J86" s="325"/>
      <x:c r="K86" s="325"/>
      <x:c r="L86" s="325"/>
      <x:c r="M86" s="325"/>
      <x:c r="N86" s="325"/>
      <x:c r="O86" s="325"/>
      <x:c r="P86" s="326" t="str">
        <x:f>IF(OR($A86="",H86=""),"",H86*M86*N86*O86)</x:f>
      </x:c>
      <x:c r="Q86" s="326" t="str">
        <x:f>IF(OR($A86="",I86=""),"",I86*M86*N86*O86)</x:f>
      </x:c>
      <x:c r="R86" s="326" t="str">
        <x:f>IF(OR($A86="",J86=""),"",J86*M86*N86*O86)</x:f>
      </x:c>
      <x:c r="S86" s="323"/>
      <x:c r="T86" s="323"/>
      <x:c r="U86" s="323"/>
      <x:c r="V86" s="323"/>
      <x:c r="W86" s="327" t="str">
        <x:f>IF(A86="","",IF(OR(B86="",G86="",Q86="",S86="",T86="",U86=""),"INCOMPLETO",IF(OR(M86&lt;=0,N86&lt;=0,O86&lt;=0),"REVISAR FACTORES",IF(S86="X","EXCLUIDO",IF(OR(T86="Baja",S86="D"),"EXPLORATORIO","LISTO")))))</x:f>
      </x:c>
      <x:c r="X86" s="257"/>
      <x:c r="Y86" s="257"/>
      <x:c r="Z86" s="257"/>
      <x:c r="AA86" s="257"/>
      <x:c r="AB86" s="257"/>
      <x:c r="AC86" s="257"/>
      <x:c r="AD86" s="257"/>
      <x:c r="AE86" s="257"/>
      <x:c r="AF86" s="257"/>
      <x:c r="AG86" s="257"/>
      <x:c r="AH86" s="257"/>
      <x:c r="AI86" s="257"/>
    </x:row>
    <x:row r="87" ht="22" customHeight="1">
      <x:c r="A87" s="323"/>
      <x:c r="B87" s="323"/>
      <x:c r="C87" s="323"/>
      <x:c r="D87" s="323"/>
      <x:c r="E87" s="324"/>
      <x:c r="F87" s="323"/>
      <x:c r="G87" s="323"/>
      <x:c r="H87" s="325"/>
      <x:c r="I87" s="325"/>
      <x:c r="J87" s="325"/>
      <x:c r="K87" s="325"/>
      <x:c r="L87" s="325"/>
      <x:c r="M87" s="325"/>
      <x:c r="N87" s="325"/>
      <x:c r="O87" s="325"/>
      <x:c r="P87" s="326" t="str">
        <x:f>IF(OR($A87="",H87=""),"",H87*M87*N87*O87)</x:f>
      </x:c>
      <x:c r="Q87" s="326" t="str">
        <x:f>IF(OR($A87="",I87=""),"",I87*M87*N87*O87)</x:f>
      </x:c>
      <x:c r="R87" s="326" t="str">
        <x:f>IF(OR($A87="",J87=""),"",J87*M87*N87*O87)</x:f>
      </x:c>
      <x:c r="S87" s="323"/>
      <x:c r="T87" s="323"/>
      <x:c r="U87" s="323"/>
      <x:c r="V87" s="323"/>
      <x:c r="W87" s="327" t="str">
        <x:f>IF(A87="","",IF(OR(B87="",G87="",Q87="",S87="",T87="",U87=""),"INCOMPLETO",IF(OR(M87&lt;=0,N87&lt;=0,O87&lt;=0),"REVISAR FACTORES",IF(S87="X","EXCLUIDO",IF(OR(T87="Baja",S87="D"),"EXPLORATORIO","LISTO")))))</x:f>
      </x:c>
      <x:c r="X87" s="257"/>
      <x:c r="Y87" s="257"/>
      <x:c r="Z87" s="257"/>
      <x:c r="AA87" s="257"/>
      <x:c r="AB87" s="257"/>
      <x:c r="AC87" s="257"/>
      <x:c r="AD87" s="257"/>
      <x:c r="AE87" s="257"/>
      <x:c r="AF87" s="257"/>
      <x:c r="AG87" s="257"/>
      <x:c r="AH87" s="257"/>
      <x:c r="AI87" s="257"/>
    </x:row>
    <x:row r="88" ht="22" customHeight="1">
      <x:c r="A88" s="323"/>
      <x:c r="B88" s="323"/>
      <x:c r="C88" s="323"/>
      <x:c r="D88" s="323"/>
      <x:c r="E88" s="324"/>
      <x:c r="F88" s="323"/>
      <x:c r="G88" s="323"/>
      <x:c r="H88" s="325"/>
      <x:c r="I88" s="325"/>
      <x:c r="J88" s="325"/>
      <x:c r="K88" s="325"/>
      <x:c r="L88" s="325"/>
      <x:c r="M88" s="325"/>
      <x:c r="N88" s="325"/>
      <x:c r="O88" s="325"/>
      <x:c r="P88" s="326" t="str">
        <x:f>IF(OR($A88="",H88=""),"",H88*M88*N88*O88)</x:f>
      </x:c>
      <x:c r="Q88" s="326" t="str">
        <x:f>IF(OR($A88="",I88=""),"",I88*M88*N88*O88)</x:f>
      </x:c>
      <x:c r="R88" s="326" t="str">
        <x:f>IF(OR($A88="",J88=""),"",J88*M88*N88*O88)</x:f>
      </x:c>
      <x:c r="S88" s="323"/>
      <x:c r="T88" s="323"/>
      <x:c r="U88" s="323"/>
      <x:c r="V88" s="323"/>
      <x:c r="W88" s="327" t="str">
        <x:f>IF(A88="","",IF(OR(B88="",G88="",Q88="",S88="",T88="",U88=""),"INCOMPLETO",IF(OR(M88&lt;=0,N88&lt;=0,O88&lt;=0),"REVISAR FACTORES",IF(S88="X","EXCLUIDO",IF(OR(T88="Baja",S88="D"),"EXPLORATORIO","LISTO")))))</x:f>
      </x:c>
      <x:c r="X88" s="257"/>
      <x:c r="Y88" s="257"/>
      <x:c r="Z88" s="257"/>
      <x:c r="AA88" s="257"/>
      <x:c r="AB88" s="257"/>
      <x:c r="AC88" s="257"/>
      <x:c r="AD88" s="257"/>
      <x:c r="AE88" s="257"/>
      <x:c r="AF88" s="257"/>
      <x:c r="AG88" s="257"/>
      <x:c r="AH88" s="257"/>
      <x:c r="AI88" s="257"/>
    </x:row>
    <x:row r="89" ht="22" customHeight="1">
      <x:c r="A89" s="323"/>
      <x:c r="B89" s="323"/>
      <x:c r="C89" s="323"/>
      <x:c r="D89" s="323"/>
      <x:c r="E89" s="324"/>
      <x:c r="F89" s="323"/>
      <x:c r="G89" s="323"/>
      <x:c r="H89" s="325"/>
      <x:c r="I89" s="325"/>
      <x:c r="J89" s="325"/>
      <x:c r="K89" s="325"/>
      <x:c r="L89" s="325"/>
      <x:c r="M89" s="325"/>
      <x:c r="N89" s="325"/>
      <x:c r="O89" s="325"/>
      <x:c r="P89" s="326" t="str">
        <x:f>IF(OR($A89="",H89=""),"",H89*M89*N89*O89)</x:f>
      </x:c>
      <x:c r="Q89" s="326" t="str">
        <x:f>IF(OR($A89="",I89=""),"",I89*M89*N89*O89)</x:f>
      </x:c>
      <x:c r="R89" s="326" t="str">
        <x:f>IF(OR($A89="",J89=""),"",J89*M89*N89*O89)</x:f>
      </x:c>
      <x:c r="S89" s="323"/>
      <x:c r="T89" s="323"/>
      <x:c r="U89" s="323"/>
      <x:c r="V89" s="323"/>
      <x:c r="W89" s="327" t="str">
        <x:f>IF(A89="","",IF(OR(B89="",G89="",Q89="",S89="",T89="",U89=""),"INCOMPLETO",IF(OR(M89&lt;=0,N89&lt;=0,O89&lt;=0),"REVISAR FACTORES",IF(S89="X","EXCLUIDO",IF(OR(T89="Baja",S89="D"),"EXPLORATORIO","LISTO")))))</x:f>
      </x:c>
      <x:c r="X89" s="257"/>
      <x:c r="Y89" s="257"/>
      <x:c r="Z89" s="257"/>
      <x:c r="AA89" s="257"/>
      <x:c r="AB89" s="257"/>
      <x:c r="AC89" s="257"/>
      <x:c r="AD89" s="257"/>
      <x:c r="AE89" s="257"/>
      <x:c r="AF89" s="257"/>
      <x:c r="AG89" s="257"/>
      <x:c r="AH89" s="257"/>
      <x:c r="AI89" s="257"/>
    </x:row>
    <x:row r="90" ht="22" customHeight="1">
      <x:c r="A90" s="323"/>
      <x:c r="B90" s="323"/>
      <x:c r="C90" s="323"/>
      <x:c r="D90" s="323"/>
      <x:c r="E90" s="324"/>
      <x:c r="F90" s="323"/>
      <x:c r="G90" s="323"/>
      <x:c r="H90" s="325"/>
      <x:c r="I90" s="325"/>
      <x:c r="J90" s="325"/>
      <x:c r="K90" s="325"/>
      <x:c r="L90" s="325"/>
      <x:c r="M90" s="325"/>
      <x:c r="N90" s="325"/>
      <x:c r="O90" s="325"/>
      <x:c r="P90" s="326" t="str">
        <x:f>IF(OR($A90="",H90=""),"",H90*M90*N90*O90)</x:f>
      </x:c>
      <x:c r="Q90" s="326" t="str">
        <x:f>IF(OR($A90="",I90=""),"",I90*M90*N90*O90)</x:f>
      </x:c>
      <x:c r="R90" s="326" t="str">
        <x:f>IF(OR($A90="",J90=""),"",J90*M90*N90*O90)</x:f>
      </x:c>
      <x:c r="S90" s="323"/>
      <x:c r="T90" s="323"/>
      <x:c r="U90" s="323"/>
      <x:c r="V90" s="323"/>
      <x:c r="W90" s="327" t="str">
        <x:f>IF(A90="","",IF(OR(B90="",G90="",Q90="",S90="",T90="",U90=""),"INCOMPLETO",IF(OR(M90&lt;=0,N90&lt;=0,O90&lt;=0),"REVISAR FACTORES",IF(S90="X","EXCLUIDO",IF(OR(T90="Baja",S90="D"),"EXPLORATORIO","LISTO")))))</x:f>
      </x:c>
      <x:c r="X90" s="257"/>
      <x:c r="Y90" s="257"/>
      <x:c r="Z90" s="257"/>
      <x:c r="AA90" s="257"/>
      <x:c r="AB90" s="257"/>
      <x:c r="AC90" s="257"/>
      <x:c r="AD90" s="257"/>
      <x:c r="AE90" s="257"/>
      <x:c r="AF90" s="257"/>
      <x:c r="AG90" s="257"/>
      <x:c r="AH90" s="257"/>
      <x:c r="AI90" s="257"/>
    </x:row>
    <x:row r="91" ht="22" customHeight="1">
      <x:c r="A91" s="323"/>
      <x:c r="B91" s="323"/>
      <x:c r="C91" s="323"/>
      <x:c r="D91" s="323"/>
      <x:c r="E91" s="324"/>
      <x:c r="F91" s="323"/>
      <x:c r="G91" s="323"/>
      <x:c r="H91" s="325"/>
      <x:c r="I91" s="325"/>
      <x:c r="J91" s="325"/>
      <x:c r="K91" s="325"/>
      <x:c r="L91" s="325"/>
      <x:c r="M91" s="325"/>
      <x:c r="N91" s="325"/>
      <x:c r="O91" s="325"/>
      <x:c r="P91" s="326" t="str">
        <x:f>IF(OR($A91="",H91=""),"",H91*M91*N91*O91)</x:f>
      </x:c>
      <x:c r="Q91" s="326" t="str">
        <x:f>IF(OR($A91="",I91=""),"",I91*M91*N91*O91)</x:f>
      </x:c>
      <x:c r="R91" s="326" t="str">
        <x:f>IF(OR($A91="",J91=""),"",J91*M91*N91*O91)</x:f>
      </x:c>
      <x:c r="S91" s="323"/>
      <x:c r="T91" s="323"/>
      <x:c r="U91" s="323"/>
      <x:c r="V91" s="323"/>
      <x:c r="W91" s="327" t="str">
        <x:f>IF(A91="","",IF(OR(B91="",G91="",Q91="",S91="",T91="",U91=""),"INCOMPLETO",IF(OR(M91&lt;=0,N91&lt;=0,O91&lt;=0),"REVISAR FACTORES",IF(S91="X","EXCLUIDO",IF(OR(T91="Baja",S91="D"),"EXPLORATORIO","LISTO")))))</x:f>
      </x:c>
      <x:c r="X91" s="257"/>
      <x:c r="Y91" s="257"/>
      <x:c r="Z91" s="257"/>
      <x:c r="AA91" s="257"/>
      <x:c r="AB91" s="257"/>
      <x:c r="AC91" s="257"/>
      <x:c r="AD91" s="257"/>
      <x:c r="AE91" s="257"/>
      <x:c r="AF91" s="257"/>
      <x:c r="AG91" s="257"/>
      <x:c r="AH91" s="257"/>
      <x:c r="AI91" s="257"/>
    </x:row>
    <x:row r="92" ht="22" customHeight="1">
      <x:c r="A92" s="323"/>
      <x:c r="B92" s="323"/>
      <x:c r="C92" s="323"/>
      <x:c r="D92" s="323"/>
      <x:c r="E92" s="324"/>
      <x:c r="F92" s="323"/>
      <x:c r="G92" s="323"/>
      <x:c r="H92" s="325"/>
      <x:c r="I92" s="325"/>
      <x:c r="J92" s="325"/>
      <x:c r="K92" s="325"/>
      <x:c r="L92" s="325"/>
      <x:c r="M92" s="325"/>
      <x:c r="N92" s="325"/>
      <x:c r="O92" s="325"/>
      <x:c r="P92" s="326" t="str">
        <x:f>IF(OR($A92="",H92=""),"",H92*M92*N92*O92)</x:f>
      </x:c>
      <x:c r="Q92" s="326" t="str">
        <x:f>IF(OR($A92="",I92=""),"",I92*M92*N92*O92)</x:f>
      </x:c>
      <x:c r="R92" s="326" t="str">
        <x:f>IF(OR($A92="",J92=""),"",J92*M92*N92*O92)</x:f>
      </x:c>
      <x:c r="S92" s="323"/>
      <x:c r="T92" s="323"/>
      <x:c r="U92" s="323"/>
      <x:c r="V92" s="323"/>
      <x:c r="W92" s="327" t="str">
        <x:f>IF(A92="","",IF(OR(B92="",G92="",Q92="",S92="",T92="",U92=""),"INCOMPLETO",IF(OR(M92&lt;=0,N92&lt;=0,O92&lt;=0),"REVISAR FACTORES",IF(S92="X","EXCLUIDO",IF(OR(T92="Baja",S92="D"),"EXPLORATORIO","LISTO")))))</x:f>
      </x:c>
      <x:c r="X92" s="257"/>
      <x:c r="Y92" s="257"/>
      <x:c r="Z92" s="257"/>
      <x:c r="AA92" s="257"/>
      <x:c r="AB92" s="257"/>
      <x:c r="AC92" s="257"/>
      <x:c r="AD92" s="257"/>
      <x:c r="AE92" s="257"/>
      <x:c r="AF92" s="257"/>
      <x:c r="AG92" s="257"/>
      <x:c r="AH92" s="257"/>
      <x:c r="AI92" s="257"/>
    </x:row>
    <x:row r="93" ht="22" customHeight="1">
      <x:c r="A93" s="323"/>
      <x:c r="B93" s="323"/>
      <x:c r="C93" s="323"/>
      <x:c r="D93" s="323"/>
      <x:c r="E93" s="324"/>
      <x:c r="F93" s="323"/>
      <x:c r="G93" s="323"/>
      <x:c r="H93" s="325"/>
      <x:c r="I93" s="325"/>
      <x:c r="J93" s="325"/>
      <x:c r="K93" s="325"/>
      <x:c r="L93" s="325"/>
      <x:c r="M93" s="325"/>
      <x:c r="N93" s="325"/>
      <x:c r="O93" s="325"/>
      <x:c r="P93" s="326" t="str">
        <x:f>IF(OR($A93="",H93=""),"",H93*M93*N93*O93)</x:f>
      </x:c>
      <x:c r="Q93" s="326" t="str">
        <x:f>IF(OR($A93="",I93=""),"",I93*M93*N93*O93)</x:f>
      </x:c>
      <x:c r="R93" s="326" t="str">
        <x:f>IF(OR($A93="",J93=""),"",J93*M93*N93*O93)</x:f>
      </x:c>
      <x:c r="S93" s="323"/>
      <x:c r="T93" s="323"/>
      <x:c r="U93" s="323"/>
      <x:c r="V93" s="323"/>
      <x:c r="W93" s="327" t="str">
        <x:f>IF(A93="","",IF(OR(B93="",G93="",Q93="",S93="",T93="",U93=""),"INCOMPLETO",IF(OR(M93&lt;=0,N93&lt;=0,O93&lt;=0),"REVISAR FACTORES",IF(S93="X","EXCLUIDO",IF(OR(T93="Baja",S93="D"),"EXPLORATORIO","LISTO")))))</x:f>
      </x:c>
      <x:c r="X93" s="257"/>
      <x:c r="Y93" s="257"/>
      <x:c r="Z93" s="257"/>
      <x:c r="AA93" s="257"/>
      <x:c r="AB93" s="257"/>
      <x:c r="AC93" s="257"/>
      <x:c r="AD93" s="257"/>
      <x:c r="AE93" s="257"/>
      <x:c r="AF93" s="257"/>
      <x:c r="AG93" s="257"/>
      <x:c r="AH93" s="257"/>
      <x:c r="AI93" s="257"/>
    </x:row>
    <x:row r="94" ht="22" customHeight="1">
      <x:c r="A94" s="323"/>
      <x:c r="B94" s="323"/>
      <x:c r="C94" s="323"/>
      <x:c r="D94" s="323"/>
      <x:c r="E94" s="324"/>
      <x:c r="F94" s="323"/>
      <x:c r="G94" s="323"/>
      <x:c r="H94" s="325"/>
      <x:c r="I94" s="325"/>
      <x:c r="J94" s="325"/>
      <x:c r="K94" s="325"/>
      <x:c r="L94" s="325"/>
      <x:c r="M94" s="325"/>
      <x:c r="N94" s="325"/>
      <x:c r="O94" s="325"/>
      <x:c r="P94" s="326" t="str">
        <x:f>IF(OR($A94="",H94=""),"",H94*M94*N94*O94)</x:f>
      </x:c>
      <x:c r="Q94" s="326" t="str">
        <x:f>IF(OR($A94="",I94=""),"",I94*M94*N94*O94)</x:f>
      </x:c>
      <x:c r="R94" s="326" t="str">
        <x:f>IF(OR($A94="",J94=""),"",J94*M94*N94*O94)</x:f>
      </x:c>
      <x:c r="S94" s="323"/>
      <x:c r="T94" s="323"/>
      <x:c r="U94" s="323"/>
      <x:c r="V94" s="323"/>
      <x:c r="W94" s="327" t="str">
        <x:f>IF(A94="","",IF(OR(B94="",G94="",Q94="",S94="",T94="",U94=""),"INCOMPLETO",IF(OR(M94&lt;=0,N94&lt;=0,O94&lt;=0),"REVISAR FACTORES",IF(S94="X","EXCLUIDO",IF(OR(T94="Baja",S94="D"),"EXPLORATORIO","LISTO")))))</x:f>
      </x:c>
      <x:c r="X94" s="257"/>
      <x:c r="Y94" s="257"/>
      <x:c r="Z94" s="257"/>
      <x:c r="AA94" s="257"/>
      <x:c r="AB94" s="257"/>
      <x:c r="AC94" s="257"/>
      <x:c r="AD94" s="257"/>
      <x:c r="AE94" s="257"/>
      <x:c r="AF94" s="257"/>
      <x:c r="AG94" s="257"/>
      <x:c r="AH94" s="257"/>
      <x:c r="AI94" s="257"/>
    </x:row>
    <x:row r="95" ht="22" customHeight="1">
      <x:c r="A95" s="323"/>
      <x:c r="B95" s="323"/>
      <x:c r="C95" s="323"/>
      <x:c r="D95" s="323"/>
      <x:c r="E95" s="324"/>
      <x:c r="F95" s="323"/>
      <x:c r="G95" s="323"/>
      <x:c r="H95" s="325"/>
      <x:c r="I95" s="325"/>
      <x:c r="J95" s="325"/>
      <x:c r="K95" s="325"/>
      <x:c r="L95" s="325"/>
      <x:c r="M95" s="325"/>
      <x:c r="N95" s="325"/>
      <x:c r="O95" s="325"/>
      <x:c r="P95" s="326" t="str">
        <x:f>IF(OR($A95="",H95=""),"",H95*M95*N95*O95)</x:f>
      </x:c>
      <x:c r="Q95" s="326" t="str">
        <x:f>IF(OR($A95="",I95=""),"",I95*M95*N95*O95)</x:f>
      </x:c>
      <x:c r="R95" s="326" t="str">
        <x:f>IF(OR($A95="",J95=""),"",J95*M95*N95*O95)</x:f>
      </x:c>
      <x:c r="S95" s="323"/>
      <x:c r="T95" s="323"/>
      <x:c r="U95" s="323"/>
      <x:c r="V95" s="323"/>
      <x:c r="W95" s="327" t="str">
        <x:f>IF(A95="","",IF(OR(B95="",G95="",Q95="",S95="",T95="",U95=""),"INCOMPLETO",IF(OR(M95&lt;=0,N95&lt;=0,O95&lt;=0),"REVISAR FACTORES",IF(S95="X","EXCLUIDO",IF(OR(T95="Baja",S95="D"),"EXPLORATORIO","LISTO")))))</x:f>
      </x:c>
      <x:c r="X95" s="257"/>
      <x:c r="Y95" s="257"/>
      <x:c r="Z95" s="257"/>
      <x:c r="AA95" s="257"/>
      <x:c r="AB95" s="257"/>
      <x:c r="AC95" s="257"/>
      <x:c r="AD95" s="257"/>
      <x:c r="AE95" s="257"/>
      <x:c r="AF95" s="257"/>
      <x:c r="AG95" s="257"/>
      <x:c r="AH95" s="257"/>
      <x:c r="AI95" s="257"/>
    </x:row>
    <x:row r="96" ht="22" customHeight="1">
      <x:c r="A96" s="323"/>
      <x:c r="B96" s="323"/>
      <x:c r="C96" s="323"/>
      <x:c r="D96" s="323"/>
      <x:c r="E96" s="324"/>
      <x:c r="F96" s="323"/>
      <x:c r="G96" s="323"/>
      <x:c r="H96" s="325"/>
      <x:c r="I96" s="325"/>
      <x:c r="J96" s="325"/>
      <x:c r="K96" s="325"/>
      <x:c r="L96" s="325"/>
      <x:c r="M96" s="325"/>
      <x:c r="N96" s="325"/>
      <x:c r="O96" s="325"/>
      <x:c r="P96" s="326" t="str">
        <x:f>IF(OR($A96="",H96=""),"",H96*M96*N96*O96)</x:f>
      </x:c>
      <x:c r="Q96" s="326" t="str">
        <x:f>IF(OR($A96="",I96=""),"",I96*M96*N96*O96)</x:f>
      </x:c>
      <x:c r="R96" s="326" t="str">
        <x:f>IF(OR($A96="",J96=""),"",J96*M96*N96*O96)</x:f>
      </x:c>
      <x:c r="S96" s="323"/>
      <x:c r="T96" s="323"/>
      <x:c r="U96" s="323"/>
      <x:c r="V96" s="323"/>
      <x:c r="W96" s="327" t="str">
        <x:f>IF(A96="","",IF(OR(B96="",G96="",Q96="",S96="",T96="",U96=""),"INCOMPLETO",IF(OR(M96&lt;=0,N96&lt;=0,O96&lt;=0),"REVISAR FACTORES",IF(S96="X","EXCLUIDO",IF(OR(T96="Baja",S96="D"),"EXPLORATORIO","LISTO")))))</x:f>
      </x:c>
      <x:c r="X96" s="257"/>
      <x:c r="Y96" s="257"/>
      <x:c r="Z96" s="257"/>
      <x:c r="AA96" s="257"/>
      <x:c r="AB96" s="257"/>
      <x:c r="AC96" s="257"/>
      <x:c r="AD96" s="257"/>
      <x:c r="AE96" s="257"/>
      <x:c r="AF96" s="257"/>
      <x:c r="AG96" s="257"/>
      <x:c r="AH96" s="257"/>
      <x:c r="AI96" s="257"/>
    </x:row>
    <x:row r="97" ht="22" customHeight="1">
      <x:c r="A97" s="323"/>
      <x:c r="B97" s="323"/>
      <x:c r="C97" s="323"/>
      <x:c r="D97" s="323"/>
      <x:c r="E97" s="324"/>
      <x:c r="F97" s="323"/>
      <x:c r="G97" s="323"/>
      <x:c r="H97" s="325"/>
      <x:c r="I97" s="325"/>
      <x:c r="J97" s="325"/>
      <x:c r="K97" s="325"/>
      <x:c r="L97" s="325"/>
      <x:c r="M97" s="325"/>
      <x:c r="N97" s="325"/>
      <x:c r="O97" s="325"/>
      <x:c r="P97" s="326" t="str">
        <x:f>IF(OR($A97="",H97=""),"",H97*M97*N97*O97)</x:f>
      </x:c>
      <x:c r="Q97" s="326" t="str">
        <x:f>IF(OR($A97="",I97=""),"",I97*M97*N97*O97)</x:f>
      </x:c>
      <x:c r="R97" s="326" t="str">
        <x:f>IF(OR($A97="",J97=""),"",J97*M97*N97*O97)</x:f>
      </x:c>
      <x:c r="S97" s="323"/>
      <x:c r="T97" s="323"/>
      <x:c r="U97" s="323"/>
      <x:c r="V97" s="323"/>
      <x:c r="W97" s="327" t="str">
        <x:f>IF(A97="","",IF(OR(B97="",G97="",Q97="",S97="",T97="",U97=""),"INCOMPLETO",IF(OR(M97&lt;=0,N97&lt;=0,O97&lt;=0),"REVISAR FACTORES",IF(S97="X","EXCLUIDO",IF(OR(T97="Baja",S97="D"),"EXPLORATORIO","LISTO")))))</x:f>
      </x:c>
      <x:c r="X97" s="257"/>
      <x:c r="Y97" s="257"/>
      <x:c r="Z97" s="257"/>
      <x:c r="AA97" s="257"/>
      <x:c r="AB97" s="257"/>
      <x:c r="AC97" s="257"/>
      <x:c r="AD97" s="257"/>
      <x:c r="AE97" s="257"/>
      <x:c r="AF97" s="257"/>
      <x:c r="AG97" s="257"/>
      <x:c r="AH97" s="257"/>
      <x:c r="AI97" s="257"/>
    </x:row>
    <x:row r="98" ht="22" customHeight="1">
      <x:c r="A98" s="323"/>
      <x:c r="B98" s="323"/>
      <x:c r="C98" s="323"/>
      <x:c r="D98" s="323"/>
      <x:c r="E98" s="324"/>
      <x:c r="F98" s="323"/>
      <x:c r="G98" s="323"/>
      <x:c r="H98" s="325"/>
      <x:c r="I98" s="325"/>
      <x:c r="J98" s="325"/>
      <x:c r="K98" s="325"/>
      <x:c r="L98" s="325"/>
      <x:c r="M98" s="325"/>
      <x:c r="N98" s="325"/>
      <x:c r="O98" s="325"/>
      <x:c r="P98" s="326" t="str">
        <x:f>IF(OR($A98="",H98=""),"",H98*M98*N98*O98)</x:f>
      </x:c>
      <x:c r="Q98" s="326" t="str">
        <x:f>IF(OR($A98="",I98=""),"",I98*M98*N98*O98)</x:f>
      </x:c>
      <x:c r="R98" s="326" t="str">
        <x:f>IF(OR($A98="",J98=""),"",J98*M98*N98*O98)</x:f>
      </x:c>
      <x:c r="S98" s="323"/>
      <x:c r="T98" s="323"/>
      <x:c r="U98" s="323"/>
      <x:c r="V98" s="323"/>
      <x:c r="W98" s="327" t="str">
        <x:f>IF(A98="","",IF(OR(B98="",G98="",Q98="",S98="",T98="",U98=""),"INCOMPLETO",IF(OR(M98&lt;=0,N98&lt;=0,O98&lt;=0),"REVISAR FACTORES",IF(S98="X","EXCLUIDO",IF(OR(T98="Baja",S98="D"),"EXPLORATORIO","LISTO")))))</x:f>
      </x:c>
      <x:c r="X98" s="257"/>
      <x:c r="Y98" s="257"/>
      <x:c r="Z98" s="257"/>
      <x:c r="AA98" s="257"/>
      <x:c r="AB98" s="257"/>
      <x:c r="AC98" s="257"/>
      <x:c r="AD98" s="257"/>
      <x:c r="AE98" s="257"/>
      <x:c r="AF98" s="257"/>
      <x:c r="AG98" s="257"/>
      <x:c r="AH98" s="257"/>
      <x:c r="AI98" s="257"/>
    </x:row>
    <x:row r="99" ht="22" customHeight="1">
      <x:c r="A99" s="323"/>
      <x:c r="B99" s="323"/>
      <x:c r="C99" s="323"/>
      <x:c r="D99" s="323"/>
      <x:c r="E99" s="324"/>
      <x:c r="F99" s="323"/>
      <x:c r="G99" s="323"/>
      <x:c r="H99" s="325"/>
      <x:c r="I99" s="325"/>
      <x:c r="J99" s="325"/>
      <x:c r="K99" s="325"/>
      <x:c r="L99" s="325"/>
      <x:c r="M99" s="325"/>
      <x:c r="N99" s="325"/>
      <x:c r="O99" s="325"/>
      <x:c r="P99" s="326" t="str">
        <x:f>IF(OR($A99="",H99=""),"",H99*M99*N99*O99)</x:f>
      </x:c>
      <x:c r="Q99" s="326" t="str">
        <x:f>IF(OR($A99="",I99=""),"",I99*M99*N99*O99)</x:f>
      </x:c>
      <x:c r="R99" s="326" t="str">
        <x:f>IF(OR($A99="",J99=""),"",J99*M99*N99*O99)</x:f>
      </x:c>
      <x:c r="S99" s="323"/>
      <x:c r="T99" s="323"/>
      <x:c r="U99" s="323"/>
      <x:c r="V99" s="323"/>
      <x:c r="W99" s="327" t="str">
        <x:f>IF(A99="","",IF(OR(B99="",G99="",Q99="",S99="",T99="",U99=""),"INCOMPLETO",IF(OR(M99&lt;=0,N99&lt;=0,O99&lt;=0),"REVISAR FACTORES",IF(S99="X","EXCLUIDO",IF(OR(T99="Baja",S99="D"),"EXPLORATORIO","LISTO")))))</x:f>
      </x:c>
      <x:c r="X99" s="257"/>
      <x:c r="Y99" s="257"/>
      <x:c r="Z99" s="257"/>
      <x:c r="AA99" s="257"/>
      <x:c r="AB99" s="257"/>
      <x:c r="AC99" s="257"/>
      <x:c r="AD99" s="257"/>
      <x:c r="AE99" s="257"/>
      <x:c r="AF99" s="257"/>
      <x:c r="AG99" s="257"/>
      <x:c r="AH99" s="257"/>
      <x:c r="AI99" s="257"/>
    </x:row>
    <x:row r="100" ht="22" customHeight="1">
      <x:c r="A100" s="323"/>
      <x:c r="B100" s="323"/>
      <x:c r="C100" s="323"/>
      <x:c r="D100" s="323"/>
      <x:c r="E100" s="324"/>
      <x:c r="F100" s="323"/>
      <x:c r="G100" s="323"/>
      <x:c r="H100" s="325"/>
      <x:c r="I100" s="325"/>
      <x:c r="J100" s="325"/>
      <x:c r="K100" s="325"/>
      <x:c r="L100" s="325"/>
      <x:c r="M100" s="325"/>
      <x:c r="N100" s="325"/>
      <x:c r="O100" s="325"/>
      <x:c r="P100" s="326" t="str">
        <x:f>IF(OR($A100="",H100=""),"",H100*M100*N100*O100)</x:f>
      </x:c>
      <x:c r="Q100" s="326" t="str">
        <x:f>IF(OR($A100="",I100=""),"",I100*M100*N100*O100)</x:f>
      </x:c>
      <x:c r="R100" s="326" t="str">
        <x:f>IF(OR($A100="",J100=""),"",J100*M100*N100*O100)</x:f>
      </x:c>
      <x:c r="S100" s="323"/>
      <x:c r="T100" s="323"/>
      <x:c r="U100" s="323"/>
      <x:c r="V100" s="323"/>
      <x:c r="W100" s="327" t="str">
        <x:f>IF(A100="","",IF(OR(B100="",G100="",Q100="",S100="",T100="",U100=""),"INCOMPLETO",IF(OR(M100&lt;=0,N100&lt;=0,O100&lt;=0),"REVISAR FACTORES",IF(S100="X","EXCLUIDO",IF(OR(T100="Baja",S100="D"),"EXPLORATORIO","LISTO")))))</x:f>
      </x:c>
      <x:c r="X100" s="257"/>
      <x:c r="Y100" s="257"/>
      <x:c r="Z100" s="257"/>
      <x:c r="AA100" s="257"/>
      <x:c r="AB100" s="257"/>
      <x:c r="AC100" s="257"/>
      <x:c r="AD100" s="257"/>
      <x:c r="AE100" s="257"/>
      <x:c r="AF100" s="257"/>
      <x:c r="AG100" s="257"/>
      <x:c r="AH100" s="257"/>
      <x:c r="AI100" s="257"/>
    </x:row>
    <x:row r="101" ht="22" customHeight="1">
      <x:c r="A101" s="323"/>
      <x:c r="B101" s="323"/>
      <x:c r="C101" s="323"/>
      <x:c r="D101" s="323"/>
      <x:c r="E101" s="324"/>
      <x:c r="F101" s="323"/>
      <x:c r="G101" s="323"/>
      <x:c r="H101" s="325"/>
      <x:c r="I101" s="325"/>
      <x:c r="J101" s="325"/>
      <x:c r="K101" s="325"/>
      <x:c r="L101" s="325"/>
      <x:c r="M101" s="325"/>
      <x:c r="N101" s="325"/>
      <x:c r="O101" s="325"/>
      <x:c r="P101" s="326" t="str">
        <x:f>IF(OR($A101="",H101=""),"",H101*M101*N101*O101)</x:f>
      </x:c>
      <x:c r="Q101" s="326" t="str">
        <x:f>IF(OR($A101="",I101=""),"",I101*M101*N101*O101)</x:f>
      </x:c>
      <x:c r="R101" s="326" t="str">
        <x:f>IF(OR($A101="",J101=""),"",J101*M101*N101*O101)</x:f>
      </x:c>
      <x:c r="S101" s="323"/>
      <x:c r="T101" s="323"/>
      <x:c r="U101" s="323"/>
      <x:c r="V101" s="323"/>
      <x:c r="W101" s="327" t="str">
        <x:f>IF(A101="","",IF(OR(B101="",G101="",Q101="",S101="",T101="",U101=""),"INCOMPLETO",IF(OR(M101&lt;=0,N101&lt;=0,O101&lt;=0),"REVISAR FACTORES",IF(S101="X","EXCLUIDO",IF(OR(T101="Baja",S101="D"),"EXPLORATORIO","LISTO")))))</x:f>
      </x:c>
      <x:c r="X101" s="257"/>
      <x:c r="Y101" s="257"/>
      <x:c r="Z101" s="257"/>
      <x:c r="AA101" s="257"/>
      <x:c r="AB101" s="257"/>
      <x:c r="AC101" s="257"/>
      <x:c r="AD101" s="257"/>
      <x:c r="AE101" s="257"/>
      <x:c r="AF101" s="257"/>
      <x:c r="AG101" s="257"/>
      <x:c r="AH101" s="257"/>
      <x:c r="AI101" s="257"/>
    </x:row>
    <x:row r="102" ht="22" customHeight="1">
      <x:c r="A102" s="323"/>
      <x:c r="B102" s="323"/>
      <x:c r="C102" s="323"/>
      <x:c r="D102" s="323"/>
      <x:c r="E102" s="324"/>
      <x:c r="F102" s="323"/>
      <x:c r="G102" s="323"/>
      <x:c r="H102" s="325"/>
      <x:c r="I102" s="325"/>
      <x:c r="J102" s="325"/>
      <x:c r="K102" s="325"/>
      <x:c r="L102" s="325"/>
      <x:c r="M102" s="325"/>
      <x:c r="N102" s="325"/>
      <x:c r="O102" s="325"/>
      <x:c r="P102" s="326" t="str">
        <x:f>IF(OR($A102="",H102=""),"",H102*M102*N102*O102)</x:f>
      </x:c>
      <x:c r="Q102" s="326" t="str">
        <x:f>IF(OR($A102="",I102=""),"",I102*M102*N102*O102)</x:f>
      </x:c>
      <x:c r="R102" s="326" t="str">
        <x:f>IF(OR($A102="",J102=""),"",J102*M102*N102*O102)</x:f>
      </x:c>
      <x:c r="S102" s="323"/>
      <x:c r="T102" s="323"/>
      <x:c r="U102" s="323"/>
      <x:c r="V102" s="323"/>
      <x:c r="W102" s="327" t="str">
        <x:f>IF(A102="","",IF(OR(B102="",G102="",Q102="",S102="",T102="",U102=""),"INCOMPLETO",IF(OR(M102&lt;=0,N102&lt;=0,O102&lt;=0),"REVISAR FACTORES",IF(S102="X","EXCLUIDO",IF(OR(T102="Baja",S102="D"),"EXPLORATORIO","LISTO")))))</x:f>
      </x:c>
      <x:c r="X102" s="257"/>
      <x:c r="Y102" s="257"/>
      <x:c r="Z102" s="257"/>
      <x:c r="AA102" s="257"/>
      <x:c r="AB102" s="257"/>
      <x:c r="AC102" s="257"/>
      <x:c r="AD102" s="257"/>
      <x:c r="AE102" s="257"/>
      <x:c r="AF102" s="257"/>
      <x:c r="AG102" s="257"/>
      <x:c r="AH102" s="257"/>
      <x:c r="AI102" s="257"/>
    </x:row>
    <x:row r="103" ht="22" customHeight="1">
      <x:c r="A103" s="323"/>
      <x:c r="B103" s="323"/>
      <x:c r="C103" s="323"/>
      <x:c r="D103" s="323"/>
      <x:c r="E103" s="324"/>
      <x:c r="F103" s="323"/>
      <x:c r="G103" s="323"/>
      <x:c r="H103" s="325"/>
      <x:c r="I103" s="325"/>
      <x:c r="J103" s="325"/>
      <x:c r="K103" s="325"/>
      <x:c r="L103" s="325"/>
      <x:c r="M103" s="325"/>
      <x:c r="N103" s="325"/>
      <x:c r="O103" s="325"/>
      <x:c r="P103" s="326" t="str">
        <x:f>IF(OR($A103="",H103=""),"",H103*M103*N103*O103)</x:f>
      </x:c>
      <x:c r="Q103" s="326" t="str">
        <x:f>IF(OR($A103="",I103=""),"",I103*M103*N103*O103)</x:f>
      </x:c>
      <x:c r="R103" s="326" t="str">
        <x:f>IF(OR($A103="",J103=""),"",J103*M103*N103*O103)</x:f>
      </x:c>
      <x:c r="S103" s="323"/>
      <x:c r="T103" s="323"/>
      <x:c r="U103" s="323"/>
      <x:c r="V103" s="323"/>
      <x:c r="W103" s="327" t="str">
        <x:f>IF(A103="","",IF(OR(B103="",G103="",Q103="",S103="",T103="",U103=""),"INCOMPLETO",IF(OR(M103&lt;=0,N103&lt;=0,O103&lt;=0),"REVISAR FACTORES",IF(S103="X","EXCLUIDO",IF(OR(T103="Baja",S103="D"),"EXPLORATORIO","LISTO")))))</x:f>
      </x:c>
      <x:c r="X103" s="257"/>
      <x:c r="Y103" s="257"/>
      <x:c r="Z103" s="257"/>
      <x:c r="AA103" s="257"/>
      <x:c r="AB103" s="257"/>
      <x:c r="AC103" s="257"/>
      <x:c r="AD103" s="257"/>
      <x:c r="AE103" s="257"/>
      <x:c r="AF103" s="257"/>
      <x:c r="AG103" s="257"/>
      <x:c r="AH103" s="257"/>
      <x:c r="AI103" s="257"/>
    </x:row>
    <x:row r="104" ht="22" customHeight="1">
      <x:c r="A104" s="323"/>
      <x:c r="B104" s="323"/>
      <x:c r="C104" s="323"/>
      <x:c r="D104" s="323"/>
      <x:c r="E104" s="324"/>
      <x:c r="F104" s="323"/>
      <x:c r="G104" s="323"/>
      <x:c r="H104" s="325"/>
      <x:c r="I104" s="325"/>
      <x:c r="J104" s="325"/>
      <x:c r="K104" s="325"/>
      <x:c r="L104" s="325"/>
      <x:c r="M104" s="325"/>
      <x:c r="N104" s="325"/>
      <x:c r="O104" s="325"/>
      <x:c r="P104" s="326" t="str">
        <x:f>IF(OR($A104="",H104=""),"",H104*M104*N104*O104)</x:f>
      </x:c>
      <x:c r="Q104" s="326" t="str">
        <x:f>IF(OR($A104="",I104=""),"",I104*M104*N104*O104)</x:f>
      </x:c>
      <x:c r="R104" s="326" t="str">
        <x:f>IF(OR($A104="",J104=""),"",J104*M104*N104*O104)</x:f>
      </x:c>
      <x:c r="S104" s="323"/>
      <x:c r="T104" s="323"/>
      <x:c r="U104" s="323"/>
      <x:c r="V104" s="323"/>
      <x:c r="W104" s="327" t="str">
        <x:f>IF(A104="","",IF(OR(B104="",G104="",Q104="",S104="",T104="",U104=""),"INCOMPLETO",IF(OR(M104&lt;=0,N104&lt;=0,O104&lt;=0),"REVISAR FACTORES",IF(S104="X","EXCLUIDO",IF(OR(T104="Baja",S104="D"),"EXPLORATORIO","LISTO")))))</x:f>
      </x:c>
      <x:c r="X104" s="257"/>
      <x:c r="Y104" s="257"/>
      <x:c r="Z104" s="257"/>
      <x:c r="AA104" s="257"/>
      <x:c r="AB104" s="257"/>
      <x:c r="AC104" s="257"/>
      <x:c r="AD104" s="257"/>
      <x:c r="AE104" s="257"/>
      <x:c r="AF104" s="257"/>
      <x:c r="AG104" s="257"/>
      <x:c r="AH104" s="257"/>
      <x:c r="AI104" s="257"/>
    </x:row>
    <x:row r="105" ht="22" customHeight="1">
      <x:c r="A105" s="323"/>
      <x:c r="B105" s="323"/>
      <x:c r="C105" s="323"/>
      <x:c r="D105" s="323"/>
      <x:c r="E105" s="324"/>
      <x:c r="F105" s="323"/>
      <x:c r="G105" s="323"/>
      <x:c r="H105" s="325"/>
      <x:c r="I105" s="325"/>
      <x:c r="J105" s="325"/>
      <x:c r="K105" s="325"/>
      <x:c r="L105" s="325"/>
      <x:c r="M105" s="325"/>
      <x:c r="N105" s="325"/>
      <x:c r="O105" s="325"/>
      <x:c r="P105" s="326" t="str">
        <x:f>IF(OR($A105="",H105=""),"",H105*M105*N105*O105)</x:f>
      </x:c>
      <x:c r="Q105" s="326" t="str">
        <x:f>IF(OR($A105="",I105=""),"",I105*M105*N105*O105)</x:f>
      </x:c>
      <x:c r="R105" s="326" t="str">
        <x:f>IF(OR($A105="",J105=""),"",J105*M105*N105*O105)</x:f>
      </x:c>
      <x:c r="S105" s="323"/>
      <x:c r="T105" s="323"/>
      <x:c r="U105" s="323"/>
      <x:c r="V105" s="323"/>
      <x:c r="W105" s="327" t="str">
        <x:f>IF(A105="","",IF(OR(B105="",G105="",Q105="",S105="",T105="",U105=""),"INCOMPLETO",IF(OR(M105&lt;=0,N105&lt;=0,O105&lt;=0),"REVISAR FACTORES",IF(S105="X","EXCLUIDO",IF(OR(T105="Baja",S105="D"),"EXPLORATORIO","LISTO")))))</x:f>
      </x:c>
      <x:c r="X105" s="257"/>
      <x:c r="Y105" s="257"/>
      <x:c r="Z105" s="257"/>
      <x:c r="AA105" s="257"/>
      <x:c r="AB105" s="257"/>
      <x:c r="AC105" s="257"/>
      <x:c r="AD105" s="257"/>
      <x:c r="AE105" s="257"/>
      <x:c r="AF105" s="257"/>
      <x:c r="AG105" s="257"/>
      <x:c r="AH105" s="257"/>
      <x:c r="AI105" s="257"/>
    </x:row>
    <x:row r="106" ht="22" customHeight="1">
      <x:c r="A106" s="323"/>
      <x:c r="B106" s="323"/>
      <x:c r="C106" s="323"/>
      <x:c r="D106" s="323"/>
      <x:c r="E106" s="324"/>
      <x:c r="F106" s="323"/>
      <x:c r="G106" s="323"/>
      <x:c r="H106" s="325"/>
      <x:c r="I106" s="325"/>
      <x:c r="J106" s="325"/>
      <x:c r="K106" s="325"/>
      <x:c r="L106" s="325"/>
      <x:c r="M106" s="325"/>
      <x:c r="N106" s="325"/>
      <x:c r="O106" s="325"/>
      <x:c r="P106" s="326" t="str">
        <x:f>IF(OR($A106="",H106=""),"",H106*M106*N106*O106)</x:f>
      </x:c>
      <x:c r="Q106" s="326" t="str">
        <x:f>IF(OR($A106="",I106=""),"",I106*M106*N106*O106)</x:f>
      </x:c>
      <x:c r="R106" s="326" t="str">
        <x:f>IF(OR($A106="",J106=""),"",J106*M106*N106*O106)</x:f>
      </x:c>
      <x:c r="S106" s="323"/>
      <x:c r="T106" s="323"/>
      <x:c r="U106" s="323"/>
      <x:c r="V106" s="323"/>
      <x:c r="W106" s="327" t="str">
        <x:f>IF(A106="","",IF(OR(B106="",G106="",Q106="",S106="",T106="",U106=""),"INCOMPLETO",IF(OR(M106&lt;=0,N106&lt;=0,O106&lt;=0),"REVISAR FACTORES",IF(S106="X","EXCLUIDO",IF(OR(T106="Baja",S106="D"),"EXPLORATORIO","LISTO")))))</x:f>
      </x:c>
      <x:c r="X106" s="257"/>
      <x:c r="Y106" s="257"/>
      <x:c r="Z106" s="257"/>
      <x:c r="AA106" s="257"/>
      <x:c r="AB106" s="257"/>
      <x:c r="AC106" s="257"/>
      <x:c r="AD106" s="257"/>
      <x:c r="AE106" s="257"/>
      <x:c r="AF106" s="257"/>
      <x:c r="AG106" s="257"/>
      <x:c r="AH106" s="257"/>
      <x:c r="AI106" s="257"/>
    </x:row>
    <x:row r="107" ht="22" customHeight="1">
      <x:c r="A107" s="323"/>
      <x:c r="B107" s="323"/>
      <x:c r="C107" s="323"/>
      <x:c r="D107" s="323"/>
      <x:c r="E107" s="324"/>
      <x:c r="F107" s="323"/>
      <x:c r="G107" s="323"/>
      <x:c r="H107" s="325"/>
      <x:c r="I107" s="325"/>
      <x:c r="J107" s="325"/>
      <x:c r="K107" s="325"/>
      <x:c r="L107" s="325"/>
      <x:c r="M107" s="325"/>
      <x:c r="N107" s="325"/>
      <x:c r="O107" s="325"/>
      <x:c r="P107" s="326" t="str">
        <x:f>IF(OR($A107="",H107=""),"",H107*M107*N107*O107)</x:f>
      </x:c>
      <x:c r="Q107" s="326" t="str">
        <x:f>IF(OR($A107="",I107=""),"",I107*M107*N107*O107)</x:f>
      </x:c>
      <x:c r="R107" s="326" t="str">
        <x:f>IF(OR($A107="",J107=""),"",J107*M107*N107*O107)</x:f>
      </x:c>
      <x:c r="S107" s="323"/>
      <x:c r="T107" s="323"/>
      <x:c r="U107" s="323"/>
      <x:c r="V107" s="323"/>
      <x:c r="W107" s="327" t="str">
        <x:f>IF(A107="","",IF(OR(B107="",G107="",Q107="",S107="",T107="",U107=""),"INCOMPLETO",IF(OR(M107&lt;=0,N107&lt;=0,O107&lt;=0),"REVISAR FACTORES",IF(S107="X","EXCLUIDO",IF(OR(T107="Baja",S107="D"),"EXPLORATORIO","LISTO")))))</x:f>
      </x:c>
      <x:c r="X107" s="257"/>
      <x:c r="Y107" s="257"/>
      <x:c r="Z107" s="257"/>
      <x:c r="AA107" s="257"/>
      <x:c r="AB107" s="257"/>
      <x:c r="AC107" s="257"/>
      <x:c r="AD107" s="257"/>
      <x:c r="AE107" s="257"/>
      <x:c r="AF107" s="257"/>
      <x:c r="AG107" s="257"/>
      <x:c r="AH107" s="257"/>
      <x:c r="AI107" s="257"/>
    </x:row>
    <x:row r="108" ht="22" customHeight="1">
      <x:c r="A108" s="323"/>
      <x:c r="B108" s="323"/>
      <x:c r="C108" s="323"/>
      <x:c r="D108" s="323"/>
      <x:c r="E108" s="324"/>
      <x:c r="F108" s="323"/>
      <x:c r="G108" s="323"/>
      <x:c r="H108" s="325"/>
      <x:c r="I108" s="325"/>
      <x:c r="J108" s="325"/>
      <x:c r="K108" s="325"/>
      <x:c r="L108" s="325"/>
      <x:c r="M108" s="325"/>
      <x:c r="N108" s="325"/>
      <x:c r="O108" s="325"/>
      <x:c r="P108" s="326" t="str">
        <x:f>IF(OR($A108="",H108=""),"",H108*M108*N108*O108)</x:f>
      </x:c>
      <x:c r="Q108" s="326" t="str">
        <x:f>IF(OR($A108="",I108=""),"",I108*M108*N108*O108)</x:f>
      </x:c>
      <x:c r="R108" s="326" t="str">
        <x:f>IF(OR($A108="",J108=""),"",J108*M108*N108*O108)</x:f>
      </x:c>
      <x:c r="S108" s="323"/>
      <x:c r="T108" s="323"/>
      <x:c r="U108" s="323"/>
      <x:c r="V108" s="323"/>
      <x:c r="W108" s="327" t="str">
        <x:f>IF(A108="","",IF(OR(B108="",G108="",Q108="",S108="",T108="",U108=""),"INCOMPLETO",IF(OR(M108&lt;=0,N108&lt;=0,O108&lt;=0),"REVISAR FACTORES",IF(S108="X","EXCLUIDO",IF(OR(T108="Baja",S108="D"),"EXPLORATORIO","LISTO")))))</x:f>
      </x:c>
      <x:c r="X108" s="257"/>
      <x:c r="Y108" s="257"/>
      <x:c r="Z108" s="257"/>
      <x:c r="AA108" s="257"/>
      <x:c r="AB108" s="257"/>
      <x:c r="AC108" s="257"/>
      <x:c r="AD108" s="257"/>
      <x:c r="AE108" s="257"/>
      <x:c r="AF108" s="257"/>
      <x:c r="AG108" s="257"/>
      <x:c r="AH108" s="257"/>
      <x:c r="AI108" s="257"/>
    </x:row>
    <x:row r="109" ht="22" customHeight="1">
      <x:c r="A109" s="323"/>
      <x:c r="B109" s="323"/>
      <x:c r="C109" s="323"/>
      <x:c r="D109" s="323"/>
      <x:c r="E109" s="324"/>
      <x:c r="F109" s="323"/>
      <x:c r="G109" s="323"/>
      <x:c r="H109" s="325"/>
      <x:c r="I109" s="325"/>
      <x:c r="J109" s="325"/>
      <x:c r="K109" s="325"/>
      <x:c r="L109" s="325"/>
      <x:c r="M109" s="325"/>
      <x:c r="N109" s="325"/>
      <x:c r="O109" s="325"/>
      <x:c r="P109" s="326" t="str">
        <x:f>IF(OR($A109="",H109=""),"",H109*M109*N109*O109)</x:f>
      </x:c>
      <x:c r="Q109" s="326" t="str">
        <x:f>IF(OR($A109="",I109=""),"",I109*M109*N109*O109)</x:f>
      </x:c>
      <x:c r="R109" s="326" t="str">
        <x:f>IF(OR($A109="",J109=""),"",J109*M109*N109*O109)</x:f>
      </x:c>
      <x:c r="S109" s="323"/>
      <x:c r="T109" s="323"/>
      <x:c r="U109" s="323"/>
      <x:c r="V109" s="323"/>
      <x:c r="W109" s="327" t="str">
        <x:f>IF(A109="","",IF(OR(B109="",G109="",Q109="",S109="",T109="",U109=""),"INCOMPLETO",IF(OR(M109&lt;=0,N109&lt;=0,O109&lt;=0),"REVISAR FACTORES",IF(S109="X","EXCLUIDO",IF(OR(T109="Baja",S109="D"),"EXPLORATORIO","LISTO")))))</x:f>
      </x:c>
      <x:c r="X109" s="257"/>
      <x:c r="Y109" s="257"/>
      <x:c r="Z109" s="257"/>
      <x:c r="AA109" s="257"/>
      <x:c r="AB109" s="257"/>
      <x:c r="AC109" s="257"/>
      <x:c r="AD109" s="257"/>
      <x:c r="AE109" s="257"/>
      <x:c r="AF109" s="257"/>
      <x:c r="AG109" s="257"/>
      <x:c r="AH109" s="257"/>
      <x:c r="AI109" s="257"/>
    </x:row>
    <x:row r="110" ht="22" customHeight="1">
      <x:c r="A110" s="323"/>
      <x:c r="B110" s="323"/>
      <x:c r="C110" s="323"/>
      <x:c r="D110" s="323"/>
      <x:c r="E110" s="324"/>
      <x:c r="F110" s="323"/>
      <x:c r="G110" s="323"/>
      <x:c r="H110" s="325"/>
      <x:c r="I110" s="325"/>
      <x:c r="J110" s="325"/>
      <x:c r="K110" s="325"/>
      <x:c r="L110" s="325"/>
      <x:c r="M110" s="325"/>
      <x:c r="N110" s="325"/>
      <x:c r="O110" s="325"/>
      <x:c r="P110" s="326" t="str">
        <x:f>IF(OR($A110="",H110=""),"",H110*M110*N110*O110)</x:f>
      </x:c>
      <x:c r="Q110" s="326" t="str">
        <x:f>IF(OR($A110="",I110=""),"",I110*M110*N110*O110)</x:f>
      </x:c>
      <x:c r="R110" s="326" t="str">
        <x:f>IF(OR($A110="",J110=""),"",J110*M110*N110*O110)</x:f>
      </x:c>
      <x:c r="S110" s="323"/>
      <x:c r="T110" s="323"/>
      <x:c r="U110" s="323"/>
      <x:c r="V110" s="323"/>
      <x:c r="W110" s="327" t="str">
        <x:f>IF(A110="","",IF(OR(B110="",G110="",Q110="",S110="",T110="",U110=""),"INCOMPLETO",IF(OR(M110&lt;=0,N110&lt;=0,O110&lt;=0),"REVISAR FACTORES",IF(S110="X","EXCLUIDO",IF(OR(T110="Baja",S110="D"),"EXPLORATORIO","LISTO")))))</x:f>
      </x:c>
      <x:c r="X110" s="257"/>
      <x:c r="Y110" s="257"/>
      <x:c r="Z110" s="257"/>
      <x:c r="AA110" s="257"/>
      <x:c r="AB110" s="257"/>
      <x:c r="AC110" s="257"/>
      <x:c r="AD110" s="257"/>
      <x:c r="AE110" s="257"/>
      <x:c r="AF110" s="257"/>
      <x:c r="AG110" s="257"/>
      <x:c r="AH110" s="257"/>
      <x:c r="AI110" s="257"/>
    </x:row>
    <x:row r="111" ht="22" customHeight="1">
      <x:c r="A111" s="323"/>
      <x:c r="B111" s="323"/>
      <x:c r="C111" s="323"/>
      <x:c r="D111" s="323"/>
      <x:c r="E111" s="324"/>
      <x:c r="F111" s="323"/>
      <x:c r="G111" s="323"/>
      <x:c r="H111" s="325"/>
      <x:c r="I111" s="325"/>
      <x:c r="J111" s="325"/>
      <x:c r="K111" s="325"/>
      <x:c r="L111" s="325"/>
      <x:c r="M111" s="325"/>
      <x:c r="N111" s="325"/>
      <x:c r="O111" s="325"/>
      <x:c r="P111" s="326" t="str">
        <x:f>IF(OR($A111="",H111=""),"",H111*M111*N111*O111)</x:f>
      </x:c>
      <x:c r="Q111" s="326" t="str">
        <x:f>IF(OR($A111="",I111=""),"",I111*M111*N111*O111)</x:f>
      </x:c>
      <x:c r="R111" s="326" t="str">
        <x:f>IF(OR($A111="",J111=""),"",J111*M111*N111*O111)</x:f>
      </x:c>
      <x:c r="S111" s="323"/>
      <x:c r="T111" s="323"/>
      <x:c r="U111" s="323"/>
      <x:c r="V111" s="323"/>
      <x:c r="W111" s="327" t="str">
        <x:f>IF(A111="","",IF(OR(B111="",G111="",Q111="",S111="",T111="",U111=""),"INCOMPLETO",IF(OR(M111&lt;=0,N111&lt;=0,O111&lt;=0),"REVISAR FACTORES",IF(S111="X","EXCLUIDO",IF(OR(T111="Baja",S111="D"),"EXPLORATORIO","LISTO")))))</x:f>
      </x:c>
      <x:c r="X111" s="257"/>
      <x:c r="Y111" s="257"/>
      <x:c r="Z111" s="257"/>
      <x:c r="AA111" s="257"/>
      <x:c r="AB111" s="257"/>
      <x:c r="AC111" s="257"/>
      <x:c r="AD111" s="257"/>
      <x:c r="AE111" s="257"/>
      <x:c r="AF111" s="257"/>
      <x:c r="AG111" s="257"/>
      <x:c r="AH111" s="257"/>
      <x:c r="AI111" s="257"/>
    </x:row>
    <x:row r="112" ht="22" customHeight="1">
      <x:c r="A112" s="323"/>
      <x:c r="B112" s="323"/>
      <x:c r="C112" s="323"/>
      <x:c r="D112" s="323"/>
      <x:c r="E112" s="324"/>
      <x:c r="F112" s="323"/>
      <x:c r="G112" s="323"/>
      <x:c r="H112" s="325"/>
      <x:c r="I112" s="325"/>
      <x:c r="J112" s="325"/>
      <x:c r="K112" s="325"/>
      <x:c r="L112" s="325"/>
      <x:c r="M112" s="325"/>
      <x:c r="N112" s="325"/>
      <x:c r="O112" s="325"/>
      <x:c r="P112" s="326" t="str">
        <x:f>IF(OR($A112="",H112=""),"",H112*M112*N112*O112)</x:f>
      </x:c>
      <x:c r="Q112" s="326" t="str">
        <x:f>IF(OR($A112="",I112=""),"",I112*M112*N112*O112)</x:f>
      </x:c>
      <x:c r="R112" s="326" t="str">
        <x:f>IF(OR($A112="",J112=""),"",J112*M112*N112*O112)</x:f>
      </x:c>
      <x:c r="S112" s="323"/>
      <x:c r="T112" s="323"/>
      <x:c r="U112" s="323"/>
      <x:c r="V112" s="323"/>
      <x:c r="W112" s="327" t="str">
        <x:f>IF(A112="","",IF(OR(B112="",G112="",Q112="",S112="",T112="",U112=""),"INCOMPLETO",IF(OR(M112&lt;=0,N112&lt;=0,O112&lt;=0),"REVISAR FACTORES",IF(S112="X","EXCLUIDO",IF(OR(T112="Baja",S112="D"),"EXPLORATORIO","LISTO")))))</x:f>
      </x:c>
      <x:c r="X112" s="257"/>
      <x:c r="Y112" s="257"/>
      <x:c r="Z112" s="257"/>
      <x:c r="AA112" s="257"/>
      <x:c r="AB112" s="257"/>
      <x:c r="AC112" s="257"/>
      <x:c r="AD112" s="257"/>
      <x:c r="AE112" s="257"/>
      <x:c r="AF112" s="257"/>
      <x:c r="AG112" s="257"/>
      <x:c r="AH112" s="257"/>
      <x:c r="AI112" s="257"/>
    </x:row>
    <x:row r="113" ht="22" customHeight="1">
      <x:c r="A113" s="323"/>
      <x:c r="B113" s="323"/>
      <x:c r="C113" s="323"/>
      <x:c r="D113" s="323"/>
      <x:c r="E113" s="324"/>
      <x:c r="F113" s="323"/>
      <x:c r="G113" s="323"/>
      <x:c r="H113" s="325"/>
      <x:c r="I113" s="325"/>
      <x:c r="J113" s="325"/>
      <x:c r="K113" s="325"/>
      <x:c r="L113" s="325"/>
      <x:c r="M113" s="325"/>
      <x:c r="N113" s="325"/>
      <x:c r="O113" s="325"/>
      <x:c r="P113" s="326" t="str">
        <x:f>IF(OR($A113="",H113=""),"",H113*M113*N113*O113)</x:f>
      </x:c>
      <x:c r="Q113" s="326" t="str">
        <x:f>IF(OR($A113="",I113=""),"",I113*M113*N113*O113)</x:f>
      </x:c>
      <x:c r="R113" s="326" t="str">
        <x:f>IF(OR($A113="",J113=""),"",J113*M113*N113*O113)</x:f>
      </x:c>
      <x:c r="S113" s="323"/>
      <x:c r="T113" s="323"/>
      <x:c r="U113" s="323"/>
      <x:c r="V113" s="323"/>
      <x:c r="W113" s="327" t="str">
        <x:f>IF(A113="","",IF(OR(B113="",G113="",Q113="",S113="",T113="",U113=""),"INCOMPLETO",IF(OR(M113&lt;=0,N113&lt;=0,O113&lt;=0),"REVISAR FACTORES",IF(S113="X","EXCLUIDO",IF(OR(T113="Baja",S113="D"),"EXPLORATORIO","LISTO")))))</x:f>
      </x:c>
      <x:c r="X113" s="257"/>
      <x:c r="Y113" s="257"/>
      <x:c r="Z113" s="257"/>
      <x:c r="AA113" s="257"/>
      <x:c r="AB113" s="257"/>
      <x:c r="AC113" s="257"/>
      <x:c r="AD113" s="257"/>
      <x:c r="AE113" s="257"/>
      <x:c r="AF113" s="257"/>
      <x:c r="AG113" s="257"/>
      <x:c r="AH113" s="257"/>
      <x:c r="AI113" s="257"/>
    </x:row>
    <x:row r="114" ht="22" customHeight="1">
      <x:c r="A114" s="323"/>
      <x:c r="B114" s="323"/>
      <x:c r="C114" s="323"/>
      <x:c r="D114" s="323"/>
      <x:c r="E114" s="324"/>
      <x:c r="F114" s="323"/>
      <x:c r="G114" s="323"/>
      <x:c r="H114" s="325"/>
      <x:c r="I114" s="325"/>
      <x:c r="J114" s="325"/>
      <x:c r="K114" s="325"/>
      <x:c r="L114" s="325"/>
      <x:c r="M114" s="325"/>
      <x:c r="N114" s="325"/>
      <x:c r="O114" s="325"/>
      <x:c r="P114" s="326" t="str">
        <x:f>IF(OR($A114="",H114=""),"",H114*M114*N114*O114)</x:f>
      </x:c>
      <x:c r="Q114" s="326" t="str">
        <x:f>IF(OR($A114="",I114=""),"",I114*M114*N114*O114)</x:f>
      </x:c>
      <x:c r="R114" s="326" t="str">
        <x:f>IF(OR($A114="",J114=""),"",J114*M114*N114*O114)</x:f>
      </x:c>
      <x:c r="S114" s="323"/>
      <x:c r="T114" s="323"/>
      <x:c r="U114" s="323"/>
      <x:c r="V114" s="323"/>
      <x:c r="W114" s="327" t="str">
        <x:f>IF(A114="","",IF(OR(B114="",G114="",Q114="",S114="",T114="",U114=""),"INCOMPLETO",IF(OR(M114&lt;=0,N114&lt;=0,O114&lt;=0),"REVISAR FACTORES",IF(S114="X","EXCLUIDO",IF(OR(T114="Baja",S114="D"),"EXPLORATORIO","LISTO")))))</x:f>
      </x:c>
      <x:c r="X114" s="257"/>
      <x:c r="Y114" s="257"/>
      <x:c r="Z114" s="257"/>
      <x:c r="AA114" s="257"/>
      <x:c r="AB114" s="257"/>
      <x:c r="AC114" s="257"/>
      <x:c r="AD114" s="257"/>
      <x:c r="AE114" s="257"/>
      <x:c r="AF114" s="257"/>
      <x:c r="AG114" s="257"/>
      <x:c r="AH114" s="257"/>
      <x:c r="AI114" s="257"/>
    </x:row>
    <x:row r="115" ht="22" customHeight="1">
      <x:c r="A115" s="323"/>
      <x:c r="B115" s="323"/>
      <x:c r="C115" s="323"/>
      <x:c r="D115" s="323"/>
      <x:c r="E115" s="324"/>
      <x:c r="F115" s="323"/>
      <x:c r="G115" s="323"/>
      <x:c r="H115" s="325"/>
      <x:c r="I115" s="325"/>
      <x:c r="J115" s="325"/>
      <x:c r="K115" s="325"/>
      <x:c r="L115" s="325"/>
      <x:c r="M115" s="325"/>
      <x:c r="N115" s="325"/>
      <x:c r="O115" s="325"/>
      <x:c r="P115" s="326" t="str">
        <x:f>IF(OR($A115="",H115=""),"",H115*M115*N115*O115)</x:f>
      </x:c>
      <x:c r="Q115" s="326" t="str">
        <x:f>IF(OR($A115="",I115=""),"",I115*M115*N115*O115)</x:f>
      </x:c>
      <x:c r="R115" s="326" t="str">
        <x:f>IF(OR($A115="",J115=""),"",J115*M115*N115*O115)</x:f>
      </x:c>
      <x:c r="S115" s="323"/>
      <x:c r="T115" s="323"/>
      <x:c r="U115" s="323"/>
      <x:c r="V115" s="323"/>
      <x:c r="W115" s="327" t="str">
        <x:f>IF(A115="","",IF(OR(B115="",G115="",Q115="",S115="",T115="",U115=""),"INCOMPLETO",IF(OR(M115&lt;=0,N115&lt;=0,O115&lt;=0),"REVISAR FACTORES",IF(S115="X","EXCLUIDO",IF(OR(T115="Baja",S115="D"),"EXPLORATORIO","LISTO")))))</x:f>
      </x:c>
      <x:c r="X115" s="257"/>
      <x:c r="Y115" s="257"/>
      <x:c r="Z115" s="257"/>
      <x:c r="AA115" s="257"/>
      <x:c r="AB115" s="257"/>
      <x:c r="AC115" s="257"/>
      <x:c r="AD115" s="257"/>
      <x:c r="AE115" s="257"/>
      <x:c r="AF115" s="257"/>
      <x:c r="AG115" s="257"/>
      <x:c r="AH115" s="257"/>
      <x:c r="AI115" s="257"/>
    </x:row>
    <x:row r="116" ht="22" customHeight="1">
      <x:c r="A116" s="323"/>
      <x:c r="B116" s="323"/>
      <x:c r="C116" s="323"/>
      <x:c r="D116" s="323"/>
      <x:c r="E116" s="324"/>
      <x:c r="F116" s="323"/>
      <x:c r="G116" s="323"/>
      <x:c r="H116" s="325"/>
      <x:c r="I116" s="325"/>
      <x:c r="J116" s="325"/>
      <x:c r="K116" s="325"/>
      <x:c r="L116" s="325"/>
      <x:c r="M116" s="325"/>
      <x:c r="N116" s="325"/>
      <x:c r="O116" s="325"/>
      <x:c r="P116" s="326" t="str">
        <x:f>IF(OR($A116="",H116=""),"",H116*M116*N116*O116)</x:f>
      </x:c>
      <x:c r="Q116" s="326" t="str">
        <x:f>IF(OR($A116="",I116=""),"",I116*M116*N116*O116)</x:f>
      </x:c>
      <x:c r="R116" s="326" t="str">
        <x:f>IF(OR($A116="",J116=""),"",J116*M116*N116*O116)</x:f>
      </x:c>
      <x:c r="S116" s="323"/>
      <x:c r="T116" s="323"/>
      <x:c r="U116" s="323"/>
      <x:c r="V116" s="323"/>
      <x:c r="W116" s="327" t="str">
        <x:f>IF(A116="","",IF(OR(B116="",G116="",Q116="",S116="",T116="",U116=""),"INCOMPLETO",IF(OR(M116&lt;=0,N116&lt;=0,O116&lt;=0),"REVISAR FACTORES",IF(S116="X","EXCLUIDO",IF(OR(T116="Baja",S116="D"),"EXPLORATORIO","LISTO")))))</x:f>
      </x:c>
      <x:c r="X116" s="257"/>
      <x:c r="Y116" s="257"/>
      <x:c r="Z116" s="257"/>
      <x:c r="AA116" s="257"/>
      <x:c r="AB116" s="257"/>
      <x:c r="AC116" s="257"/>
      <x:c r="AD116" s="257"/>
      <x:c r="AE116" s="257"/>
      <x:c r="AF116" s="257"/>
      <x:c r="AG116" s="257"/>
      <x:c r="AH116" s="257"/>
      <x:c r="AI116" s="257"/>
    </x:row>
    <x:row r="117" ht="22" customHeight="1">
      <x:c r="A117" s="323"/>
      <x:c r="B117" s="323"/>
      <x:c r="C117" s="323"/>
      <x:c r="D117" s="323"/>
      <x:c r="E117" s="324"/>
      <x:c r="F117" s="323"/>
      <x:c r="G117" s="323"/>
      <x:c r="H117" s="325"/>
      <x:c r="I117" s="325"/>
      <x:c r="J117" s="325"/>
      <x:c r="K117" s="325"/>
      <x:c r="L117" s="325"/>
      <x:c r="M117" s="325"/>
      <x:c r="N117" s="325"/>
      <x:c r="O117" s="325"/>
      <x:c r="P117" s="326" t="str">
        <x:f>IF(OR($A117="",H117=""),"",H117*M117*N117*O117)</x:f>
      </x:c>
      <x:c r="Q117" s="326" t="str">
        <x:f>IF(OR($A117="",I117=""),"",I117*M117*N117*O117)</x:f>
      </x:c>
      <x:c r="R117" s="326" t="str">
        <x:f>IF(OR($A117="",J117=""),"",J117*M117*N117*O117)</x:f>
      </x:c>
      <x:c r="S117" s="323"/>
      <x:c r="T117" s="323"/>
      <x:c r="U117" s="323"/>
      <x:c r="V117" s="323"/>
      <x:c r="W117" s="327" t="str">
        <x:f>IF(A117="","",IF(OR(B117="",G117="",Q117="",S117="",T117="",U117=""),"INCOMPLETO",IF(OR(M117&lt;=0,N117&lt;=0,O117&lt;=0),"REVISAR FACTORES",IF(S117="X","EXCLUIDO",IF(OR(T117="Baja",S117="D"),"EXPLORATORIO","LISTO")))))</x:f>
      </x:c>
      <x:c r="X117" s="257"/>
      <x:c r="Y117" s="257"/>
      <x:c r="Z117" s="257"/>
      <x:c r="AA117" s="257"/>
      <x:c r="AB117" s="257"/>
      <x:c r="AC117" s="257"/>
      <x:c r="AD117" s="257"/>
      <x:c r="AE117" s="257"/>
      <x:c r="AF117" s="257"/>
      <x:c r="AG117" s="257"/>
      <x:c r="AH117" s="257"/>
      <x:c r="AI117" s="257"/>
    </x:row>
    <x:row r="118" ht="22" customHeight="1">
      <x:c r="A118" s="323"/>
      <x:c r="B118" s="323"/>
      <x:c r="C118" s="323"/>
      <x:c r="D118" s="323"/>
      <x:c r="E118" s="324"/>
      <x:c r="F118" s="323"/>
      <x:c r="G118" s="323"/>
      <x:c r="H118" s="325"/>
      <x:c r="I118" s="325"/>
      <x:c r="J118" s="325"/>
      <x:c r="K118" s="325"/>
      <x:c r="L118" s="325"/>
      <x:c r="M118" s="325"/>
      <x:c r="N118" s="325"/>
      <x:c r="O118" s="325"/>
      <x:c r="P118" s="326" t="str">
        <x:f>IF(OR($A118="",H118=""),"",H118*M118*N118*O118)</x:f>
      </x:c>
      <x:c r="Q118" s="326" t="str">
        <x:f>IF(OR($A118="",I118=""),"",I118*M118*N118*O118)</x:f>
      </x:c>
      <x:c r="R118" s="326" t="str">
        <x:f>IF(OR($A118="",J118=""),"",J118*M118*N118*O118)</x:f>
      </x:c>
      <x:c r="S118" s="323"/>
      <x:c r="T118" s="323"/>
      <x:c r="U118" s="323"/>
      <x:c r="V118" s="323"/>
      <x:c r="W118" s="327" t="str">
        <x:f>IF(A118="","",IF(OR(B118="",G118="",Q118="",S118="",T118="",U118=""),"INCOMPLETO",IF(OR(M118&lt;=0,N118&lt;=0,O118&lt;=0),"REVISAR FACTORES",IF(S118="X","EXCLUIDO",IF(OR(T118="Baja",S118="D"),"EXPLORATORIO","LISTO")))))</x:f>
      </x:c>
      <x:c r="X118" s="257"/>
      <x:c r="Y118" s="257"/>
      <x:c r="Z118" s="257"/>
      <x:c r="AA118" s="257"/>
      <x:c r="AB118" s="257"/>
      <x:c r="AC118" s="257"/>
      <x:c r="AD118" s="257"/>
      <x:c r="AE118" s="257"/>
      <x:c r="AF118" s="257"/>
      <x:c r="AG118" s="257"/>
      <x:c r="AH118" s="257"/>
      <x:c r="AI118" s="257"/>
    </x:row>
    <x:row r="119" ht="22" customHeight="1">
      <x:c r="A119" s="323"/>
      <x:c r="B119" s="323"/>
      <x:c r="C119" s="323"/>
      <x:c r="D119" s="323"/>
      <x:c r="E119" s="324"/>
      <x:c r="F119" s="323"/>
      <x:c r="G119" s="323"/>
      <x:c r="H119" s="325"/>
      <x:c r="I119" s="325"/>
      <x:c r="J119" s="325"/>
      <x:c r="K119" s="325"/>
      <x:c r="L119" s="325"/>
      <x:c r="M119" s="325"/>
      <x:c r="N119" s="325"/>
      <x:c r="O119" s="325"/>
      <x:c r="P119" s="326" t="str">
        <x:f>IF(OR($A119="",H119=""),"",H119*M119*N119*O119)</x:f>
      </x:c>
      <x:c r="Q119" s="326" t="str">
        <x:f>IF(OR($A119="",I119=""),"",I119*M119*N119*O119)</x:f>
      </x:c>
      <x:c r="R119" s="326" t="str">
        <x:f>IF(OR($A119="",J119=""),"",J119*M119*N119*O119)</x:f>
      </x:c>
      <x:c r="S119" s="323"/>
      <x:c r="T119" s="323"/>
      <x:c r="U119" s="323"/>
      <x:c r="V119" s="323"/>
      <x:c r="W119" s="327" t="str">
        <x:f>IF(A119="","",IF(OR(B119="",G119="",Q119="",S119="",T119="",U119=""),"INCOMPLETO",IF(OR(M119&lt;=0,N119&lt;=0,O119&lt;=0),"REVISAR FACTORES",IF(S119="X","EXCLUIDO",IF(OR(T119="Baja",S119="D"),"EXPLORATORIO","LISTO")))))</x:f>
      </x:c>
      <x:c r="X119" s="257"/>
      <x:c r="Y119" s="257"/>
      <x:c r="Z119" s="257"/>
      <x:c r="AA119" s="257"/>
      <x:c r="AB119" s="257"/>
      <x:c r="AC119" s="257"/>
      <x:c r="AD119" s="257"/>
      <x:c r="AE119" s="257"/>
      <x:c r="AF119" s="257"/>
      <x:c r="AG119" s="257"/>
      <x:c r="AH119" s="257"/>
      <x:c r="AI119" s="257"/>
    </x:row>
    <x:row r="120" ht="22" customHeight="1">
      <x:c r="A120" s="323"/>
      <x:c r="B120" s="323"/>
      <x:c r="C120" s="323"/>
      <x:c r="D120" s="323"/>
      <x:c r="E120" s="324"/>
      <x:c r="F120" s="323"/>
      <x:c r="G120" s="323"/>
      <x:c r="H120" s="325"/>
      <x:c r="I120" s="325"/>
      <x:c r="J120" s="325"/>
      <x:c r="K120" s="325"/>
      <x:c r="L120" s="325"/>
      <x:c r="M120" s="325"/>
      <x:c r="N120" s="325"/>
      <x:c r="O120" s="325"/>
      <x:c r="P120" s="326" t="str">
        <x:f>IF(OR($A120="",H120=""),"",H120*M120*N120*O120)</x:f>
      </x:c>
      <x:c r="Q120" s="326" t="str">
        <x:f>IF(OR($A120="",I120=""),"",I120*M120*N120*O120)</x:f>
      </x:c>
      <x:c r="R120" s="326" t="str">
        <x:f>IF(OR($A120="",J120=""),"",J120*M120*N120*O120)</x:f>
      </x:c>
      <x:c r="S120" s="323"/>
      <x:c r="T120" s="323"/>
      <x:c r="U120" s="323"/>
      <x:c r="V120" s="323"/>
      <x:c r="W120" s="327" t="str">
        <x:f>IF(A120="","",IF(OR(B120="",G120="",Q120="",S120="",T120="",U120=""),"INCOMPLETO",IF(OR(M120&lt;=0,N120&lt;=0,O120&lt;=0),"REVISAR FACTORES",IF(S120="X","EXCLUIDO",IF(OR(T120="Baja",S120="D"),"EXPLORATORIO","LISTO")))))</x:f>
      </x:c>
      <x:c r="X120" s="257"/>
      <x:c r="Y120" s="257"/>
      <x:c r="Z120" s="257"/>
      <x:c r="AA120" s="257"/>
      <x:c r="AB120" s="257"/>
      <x:c r="AC120" s="257"/>
      <x:c r="AD120" s="257"/>
      <x:c r="AE120" s="257"/>
      <x:c r="AF120" s="257"/>
      <x:c r="AG120" s="257"/>
      <x:c r="AH120" s="257"/>
      <x:c r="AI120" s="257"/>
    </x:row>
    <x:row r="121" ht="22" customHeight="1">
      <x:c r="A121" s="323"/>
      <x:c r="B121" s="323"/>
      <x:c r="C121" s="323"/>
      <x:c r="D121" s="323"/>
      <x:c r="E121" s="324"/>
      <x:c r="F121" s="323"/>
      <x:c r="G121" s="323"/>
      <x:c r="H121" s="325"/>
      <x:c r="I121" s="325"/>
      <x:c r="J121" s="325"/>
      <x:c r="K121" s="325"/>
      <x:c r="L121" s="325"/>
      <x:c r="M121" s="325"/>
      <x:c r="N121" s="325"/>
      <x:c r="O121" s="325"/>
      <x:c r="P121" s="326" t="str">
        <x:f>IF(OR($A121="",H121=""),"",H121*M121*N121*O121)</x:f>
      </x:c>
      <x:c r="Q121" s="326" t="str">
        <x:f>IF(OR($A121="",I121=""),"",I121*M121*N121*O121)</x:f>
      </x:c>
      <x:c r="R121" s="326" t="str">
        <x:f>IF(OR($A121="",J121=""),"",J121*M121*N121*O121)</x:f>
      </x:c>
      <x:c r="S121" s="323"/>
      <x:c r="T121" s="323"/>
      <x:c r="U121" s="323"/>
      <x:c r="V121" s="323"/>
      <x:c r="W121" s="327" t="str">
        <x:f>IF(A121="","",IF(OR(B121="",G121="",Q121="",S121="",T121="",U121=""),"INCOMPLETO",IF(OR(M121&lt;=0,N121&lt;=0,O121&lt;=0),"REVISAR FACTORES",IF(S121="X","EXCLUIDO",IF(OR(T121="Baja",S121="D"),"EXPLORATORIO","LISTO")))))</x:f>
      </x:c>
      <x:c r="X121" s="257"/>
      <x:c r="Y121" s="257"/>
      <x:c r="Z121" s="257"/>
      <x:c r="AA121" s="257"/>
      <x:c r="AB121" s="257"/>
      <x:c r="AC121" s="257"/>
      <x:c r="AD121" s="257"/>
      <x:c r="AE121" s="257"/>
      <x:c r="AF121" s="257"/>
      <x:c r="AG121" s="257"/>
      <x:c r="AH121" s="257"/>
      <x:c r="AI121" s="257"/>
    </x:row>
    <x:row r="122" ht="22" customHeight="1">
      <x:c r="A122" s="323"/>
      <x:c r="B122" s="323"/>
      <x:c r="C122" s="323"/>
      <x:c r="D122" s="323"/>
      <x:c r="E122" s="324"/>
      <x:c r="F122" s="323"/>
      <x:c r="G122" s="323"/>
      <x:c r="H122" s="325"/>
      <x:c r="I122" s="325"/>
      <x:c r="J122" s="325"/>
      <x:c r="K122" s="325"/>
      <x:c r="L122" s="325"/>
      <x:c r="M122" s="325"/>
      <x:c r="N122" s="325"/>
      <x:c r="O122" s="325"/>
      <x:c r="P122" s="326" t="str">
        <x:f>IF(OR($A122="",H122=""),"",H122*M122*N122*O122)</x:f>
      </x:c>
      <x:c r="Q122" s="326" t="str">
        <x:f>IF(OR($A122="",I122=""),"",I122*M122*N122*O122)</x:f>
      </x:c>
      <x:c r="R122" s="326" t="str">
        <x:f>IF(OR($A122="",J122=""),"",J122*M122*N122*O122)</x:f>
      </x:c>
      <x:c r="S122" s="323"/>
      <x:c r="T122" s="323"/>
      <x:c r="U122" s="323"/>
      <x:c r="V122" s="323"/>
      <x:c r="W122" s="327" t="str">
        <x:f>IF(A122="","",IF(OR(B122="",G122="",Q122="",S122="",T122="",U122=""),"INCOMPLETO",IF(OR(M122&lt;=0,N122&lt;=0,O122&lt;=0),"REVISAR FACTORES",IF(S122="X","EXCLUIDO",IF(OR(T122="Baja",S122="D"),"EXPLORATORIO","LISTO")))))</x:f>
      </x:c>
      <x:c r="X122" s="257"/>
      <x:c r="Y122" s="257"/>
      <x:c r="Z122" s="257"/>
      <x:c r="AA122" s="257"/>
      <x:c r="AB122" s="257"/>
      <x:c r="AC122" s="257"/>
      <x:c r="AD122" s="257"/>
      <x:c r="AE122" s="257"/>
      <x:c r="AF122" s="257"/>
      <x:c r="AG122" s="257"/>
      <x:c r="AH122" s="257"/>
      <x:c r="AI122" s="257"/>
    </x:row>
    <x:row r="123" ht="22" customHeight="1">
      <x:c r="A123" s="323"/>
      <x:c r="B123" s="323"/>
      <x:c r="C123" s="323"/>
      <x:c r="D123" s="323"/>
      <x:c r="E123" s="324"/>
      <x:c r="F123" s="323"/>
      <x:c r="G123" s="323"/>
      <x:c r="H123" s="325"/>
      <x:c r="I123" s="325"/>
      <x:c r="J123" s="325"/>
      <x:c r="K123" s="325"/>
      <x:c r="L123" s="325"/>
      <x:c r="M123" s="325"/>
      <x:c r="N123" s="325"/>
      <x:c r="O123" s="325"/>
      <x:c r="P123" s="326" t="str">
        <x:f>IF(OR($A123="",H123=""),"",H123*M123*N123*O123)</x:f>
      </x:c>
      <x:c r="Q123" s="326" t="str">
        <x:f>IF(OR($A123="",I123=""),"",I123*M123*N123*O123)</x:f>
      </x:c>
      <x:c r="R123" s="326" t="str">
        <x:f>IF(OR($A123="",J123=""),"",J123*M123*N123*O123)</x:f>
      </x:c>
      <x:c r="S123" s="323"/>
      <x:c r="T123" s="323"/>
      <x:c r="U123" s="323"/>
      <x:c r="V123" s="323"/>
      <x:c r="W123" s="327" t="str">
        <x:f>IF(A123="","",IF(OR(B123="",G123="",Q123="",S123="",T123="",U123=""),"INCOMPLETO",IF(OR(M123&lt;=0,N123&lt;=0,O123&lt;=0),"REVISAR FACTORES",IF(S123="X","EXCLUIDO",IF(OR(T123="Baja",S123="D"),"EXPLORATORIO","LISTO")))))</x:f>
      </x:c>
      <x:c r="X123" s="257"/>
      <x:c r="Y123" s="257"/>
      <x:c r="Z123" s="257"/>
      <x:c r="AA123" s="257"/>
      <x:c r="AB123" s="257"/>
      <x:c r="AC123" s="257"/>
      <x:c r="AD123" s="257"/>
      <x:c r="AE123" s="257"/>
      <x:c r="AF123" s="257"/>
      <x:c r="AG123" s="257"/>
      <x:c r="AH123" s="257"/>
      <x:c r="AI123" s="257"/>
    </x:row>
    <x:row r="124" ht="22" customHeight="1">
      <x:c r="A124" s="323"/>
      <x:c r="B124" s="323"/>
      <x:c r="C124" s="323"/>
      <x:c r="D124" s="323"/>
      <x:c r="E124" s="324"/>
      <x:c r="F124" s="323"/>
      <x:c r="G124" s="323"/>
      <x:c r="H124" s="325"/>
      <x:c r="I124" s="325"/>
      <x:c r="J124" s="325"/>
      <x:c r="K124" s="325"/>
      <x:c r="L124" s="325"/>
      <x:c r="M124" s="325"/>
      <x:c r="N124" s="325"/>
      <x:c r="O124" s="325"/>
      <x:c r="P124" s="326" t="str">
        <x:f>IF(OR($A124="",H124=""),"",H124*M124*N124*O124)</x:f>
      </x:c>
      <x:c r="Q124" s="326" t="str">
        <x:f>IF(OR($A124="",I124=""),"",I124*M124*N124*O124)</x:f>
      </x:c>
      <x:c r="R124" s="326" t="str">
        <x:f>IF(OR($A124="",J124=""),"",J124*M124*N124*O124)</x:f>
      </x:c>
      <x:c r="S124" s="323"/>
      <x:c r="T124" s="323"/>
      <x:c r="U124" s="323"/>
      <x:c r="V124" s="323"/>
      <x:c r="W124" s="327" t="str">
        <x:f>IF(A124="","",IF(OR(B124="",G124="",Q124="",S124="",T124="",U124=""),"INCOMPLETO",IF(OR(M124&lt;=0,N124&lt;=0,O124&lt;=0),"REVISAR FACTORES",IF(S124="X","EXCLUIDO",IF(OR(T124="Baja",S124="D"),"EXPLORATORIO","LISTO")))))</x:f>
      </x:c>
      <x:c r="X124" s="257"/>
      <x:c r="Y124" s="257"/>
      <x:c r="Z124" s="257"/>
      <x:c r="AA124" s="257"/>
      <x:c r="AB124" s="257"/>
      <x:c r="AC124" s="257"/>
      <x:c r="AD124" s="257"/>
      <x:c r="AE124" s="257"/>
      <x:c r="AF124" s="257"/>
      <x:c r="AG124" s="257"/>
      <x:c r="AH124" s="257"/>
      <x:c r="AI124" s="257"/>
    </x:row>
    <x:row r="125" ht="22" customHeight="1">
      <x:c r="A125" s="323"/>
      <x:c r="B125" s="323"/>
      <x:c r="C125" s="323"/>
      <x:c r="D125" s="323"/>
      <x:c r="E125" s="324"/>
      <x:c r="F125" s="323"/>
      <x:c r="G125" s="323"/>
      <x:c r="H125" s="325"/>
      <x:c r="I125" s="325"/>
      <x:c r="J125" s="325"/>
      <x:c r="K125" s="325"/>
      <x:c r="L125" s="325"/>
      <x:c r="M125" s="325"/>
      <x:c r="N125" s="325"/>
      <x:c r="O125" s="325"/>
      <x:c r="P125" s="326" t="str">
        <x:f>IF(OR($A125="",H125=""),"",H125*M125*N125*O125)</x:f>
      </x:c>
      <x:c r="Q125" s="326" t="str">
        <x:f>IF(OR($A125="",I125=""),"",I125*M125*N125*O125)</x:f>
      </x:c>
      <x:c r="R125" s="326" t="str">
        <x:f>IF(OR($A125="",J125=""),"",J125*M125*N125*O125)</x:f>
      </x:c>
      <x:c r="S125" s="323"/>
      <x:c r="T125" s="323"/>
      <x:c r="U125" s="323"/>
      <x:c r="V125" s="323"/>
      <x:c r="W125" s="327" t="str">
        <x:f>IF(A125="","",IF(OR(B125="",G125="",Q125="",S125="",T125="",U125=""),"INCOMPLETO",IF(OR(M125&lt;=0,N125&lt;=0,O125&lt;=0),"REVISAR FACTORES",IF(S125="X","EXCLUIDO",IF(OR(T125="Baja",S125="D"),"EXPLORATORIO","LISTO")))))</x:f>
      </x:c>
      <x:c r="X125" s="257"/>
      <x:c r="Y125" s="257"/>
      <x:c r="Z125" s="257"/>
      <x:c r="AA125" s="257"/>
      <x:c r="AB125" s="257"/>
      <x:c r="AC125" s="257"/>
      <x:c r="AD125" s="257"/>
      <x:c r="AE125" s="257"/>
      <x:c r="AF125" s="257"/>
      <x:c r="AG125" s="257"/>
      <x:c r="AH125" s="257"/>
      <x:c r="AI125" s="257"/>
    </x:row>
    <x:row r="126" ht="22" customHeight="1">
      <x:c r="A126" s="323"/>
      <x:c r="B126" s="323"/>
      <x:c r="C126" s="323"/>
      <x:c r="D126" s="323"/>
      <x:c r="E126" s="324"/>
      <x:c r="F126" s="323"/>
      <x:c r="G126" s="323"/>
      <x:c r="H126" s="325"/>
      <x:c r="I126" s="325"/>
      <x:c r="J126" s="325"/>
      <x:c r="K126" s="325"/>
      <x:c r="L126" s="325"/>
      <x:c r="M126" s="325"/>
      <x:c r="N126" s="325"/>
      <x:c r="O126" s="325"/>
      <x:c r="P126" s="326" t="str">
        <x:f>IF(OR($A126="",H126=""),"",H126*M126*N126*O126)</x:f>
      </x:c>
      <x:c r="Q126" s="326" t="str">
        <x:f>IF(OR($A126="",I126=""),"",I126*M126*N126*O126)</x:f>
      </x:c>
      <x:c r="R126" s="326" t="str">
        <x:f>IF(OR($A126="",J126=""),"",J126*M126*N126*O126)</x:f>
      </x:c>
      <x:c r="S126" s="323"/>
      <x:c r="T126" s="323"/>
      <x:c r="U126" s="323"/>
      <x:c r="V126" s="323"/>
      <x:c r="W126" s="327" t="str">
        <x:f>IF(A126="","",IF(OR(B126="",G126="",Q126="",S126="",T126="",U126=""),"INCOMPLETO",IF(OR(M126&lt;=0,N126&lt;=0,O126&lt;=0),"REVISAR FACTORES",IF(S126="X","EXCLUIDO",IF(OR(T126="Baja",S126="D"),"EXPLORATORIO","LISTO")))))</x:f>
      </x:c>
      <x:c r="X126" s="257"/>
      <x:c r="Y126" s="257"/>
      <x:c r="Z126" s="257"/>
      <x:c r="AA126" s="257"/>
      <x:c r="AB126" s="257"/>
      <x:c r="AC126" s="257"/>
      <x:c r="AD126" s="257"/>
      <x:c r="AE126" s="257"/>
      <x:c r="AF126" s="257"/>
      <x:c r="AG126" s="257"/>
      <x:c r="AH126" s="257"/>
      <x:c r="AI126" s="257"/>
    </x:row>
    <x:row r="127" ht="22" customHeight="1">
      <x:c r="A127" s="323"/>
      <x:c r="B127" s="323"/>
      <x:c r="C127" s="323"/>
      <x:c r="D127" s="323"/>
      <x:c r="E127" s="324"/>
      <x:c r="F127" s="323"/>
      <x:c r="G127" s="323"/>
      <x:c r="H127" s="325"/>
      <x:c r="I127" s="325"/>
      <x:c r="J127" s="325"/>
      <x:c r="K127" s="325"/>
      <x:c r="L127" s="325"/>
      <x:c r="M127" s="325"/>
      <x:c r="N127" s="325"/>
      <x:c r="O127" s="325"/>
      <x:c r="P127" s="326" t="str">
        <x:f>IF(OR($A127="",H127=""),"",H127*M127*N127*O127)</x:f>
      </x:c>
      <x:c r="Q127" s="326" t="str">
        <x:f>IF(OR($A127="",I127=""),"",I127*M127*N127*O127)</x:f>
      </x:c>
      <x:c r="R127" s="326" t="str">
        <x:f>IF(OR($A127="",J127=""),"",J127*M127*N127*O127)</x:f>
      </x:c>
      <x:c r="S127" s="323"/>
      <x:c r="T127" s="323"/>
      <x:c r="U127" s="323"/>
      <x:c r="V127" s="323"/>
      <x:c r="W127" s="327" t="str">
        <x:f>IF(A127="","",IF(OR(B127="",G127="",Q127="",S127="",T127="",U127=""),"INCOMPLETO",IF(OR(M127&lt;=0,N127&lt;=0,O127&lt;=0),"REVISAR FACTORES",IF(S127="X","EXCLUIDO",IF(OR(T127="Baja",S127="D"),"EXPLORATORIO","LISTO")))))</x:f>
      </x:c>
      <x:c r="X127" s="257"/>
      <x:c r="Y127" s="257"/>
      <x:c r="Z127" s="257"/>
      <x:c r="AA127" s="257"/>
      <x:c r="AB127" s="257"/>
      <x:c r="AC127" s="257"/>
      <x:c r="AD127" s="257"/>
      <x:c r="AE127" s="257"/>
      <x:c r="AF127" s="257"/>
      <x:c r="AG127" s="257"/>
      <x:c r="AH127" s="257"/>
      <x:c r="AI127" s="257"/>
    </x:row>
    <x:row r="128" ht="22" customHeight="1">
      <x:c r="A128" s="323"/>
      <x:c r="B128" s="323"/>
      <x:c r="C128" s="323"/>
      <x:c r="D128" s="323"/>
      <x:c r="E128" s="324"/>
      <x:c r="F128" s="323"/>
      <x:c r="G128" s="323"/>
      <x:c r="H128" s="325"/>
      <x:c r="I128" s="325"/>
      <x:c r="J128" s="325"/>
      <x:c r="K128" s="325"/>
      <x:c r="L128" s="325"/>
      <x:c r="M128" s="325"/>
      <x:c r="N128" s="325"/>
      <x:c r="O128" s="325"/>
      <x:c r="P128" s="326" t="str">
        <x:f>IF(OR($A128="",H128=""),"",H128*M128*N128*O128)</x:f>
      </x:c>
      <x:c r="Q128" s="326" t="str">
        <x:f>IF(OR($A128="",I128=""),"",I128*M128*N128*O128)</x:f>
      </x:c>
      <x:c r="R128" s="326" t="str">
        <x:f>IF(OR($A128="",J128=""),"",J128*M128*N128*O128)</x:f>
      </x:c>
      <x:c r="S128" s="323"/>
      <x:c r="T128" s="323"/>
      <x:c r="U128" s="323"/>
      <x:c r="V128" s="323"/>
      <x:c r="W128" s="327" t="str">
        <x:f>IF(A128="","",IF(OR(B128="",G128="",Q128="",S128="",T128="",U128=""),"INCOMPLETO",IF(OR(M128&lt;=0,N128&lt;=0,O128&lt;=0),"REVISAR FACTORES",IF(S128="X","EXCLUIDO",IF(OR(T128="Baja",S128="D"),"EXPLORATORIO","LISTO")))))</x:f>
      </x:c>
      <x:c r="X128" s="257"/>
      <x:c r="Y128" s="257"/>
      <x:c r="Z128" s="257"/>
      <x:c r="AA128" s="257"/>
      <x:c r="AB128" s="257"/>
      <x:c r="AC128" s="257"/>
      <x:c r="AD128" s="257"/>
      <x:c r="AE128" s="257"/>
      <x:c r="AF128" s="257"/>
      <x:c r="AG128" s="257"/>
      <x:c r="AH128" s="257"/>
      <x:c r="AI128" s="257"/>
    </x:row>
    <x:row r="129" ht="22" customHeight="1">
      <x:c r="A129" s="323"/>
      <x:c r="B129" s="323"/>
      <x:c r="C129" s="323"/>
      <x:c r="D129" s="323"/>
      <x:c r="E129" s="324"/>
      <x:c r="F129" s="323"/>
      <x:c r="G129" s="323"/>
      <x:c r="H129" s="325"/>
      <x:c r="I129" s="325"/>
      <x:c r="J129" s="325"/>
      <x:c r="K129" s="325"/>
      <x:c r="L129" s="325"/>
      <x:c r="M129" s="325"/>
      <x:c r="N129" s="325"/>
      <x:c r="O129" s="325"/>
      <x:c r="P129" s="326" t="str">
        <x:f>IF(OR($A129="",H129=""),"",H129*M129*N129*O129)</x:f>
      </x:c>
      <x:c r="Q129" s="326" t="str">
        <x:f>IF(OR($A129="",I129=""),"",I129*M129*N129*O129)</x:f>
      </x:c>
      <x:c r="R129" s="326" t="str">
        <x:f>IF(OR($A129="",J129=""),"",J129*M129*N129*O129)</x:f>
      </x:c>
      <x:c r="S129" s="323"/>
      <x:c r="T129" s="323"/>
      <x:c r="U129" s="323"/>
      <x:c r="V129" s="323"/>
      <x:c r="W129" s="327" t="str">
        <x:f>IF(A129="","",IF(OR(B129="",G129="",Q129="",S129="",T129="",U129=""),"INCOMPLETO",IF(OR(M129&lt;=0,N129&lt;=0,O129&lt;=0),"REVISAR FACTORES",IF(S129="X","EXCLUIDO",IF(OR(T129="Baja",S129="D"),"EXPLORATORIO","LISTO")))))</x:f>
      </x:c>
      <x:c r="X129" s="257"/>
      <x:c r="Y129" s="257"/>
      <x:c r="Z129" s="257"/>
      <x:c r="AA129" s="257"/>
      <x:c r="AB129" s="257"/>
      <x:c r="AC129" s="257"/>
      <x:c r="AD129" s="257"/>
      <x:c r="AE129" s="257"/>
      <x:c r="AF129" s="257"/>
      <x:c r="AG129" s="257"/>
      <x:c r="AH129" s="257"/>
      <x:c r="AI129" s="257"/>
    </x:row>
    <x:row r="130" ht="22" customHeight="1">
      <x:c r="A130" s="323"/>
      <x:c r="B130" s="323"/>
      <x:c r="C130" s="323"/>
      <x:c r="D130" s="323"/>
      <x:c r="E130" s="324"/>
      <x:c r="F130" s="323"/>
      <x:c r="G130" s="323"/>
      <x:c r="H130" s="325"/>
      <x:c r="I130" s="325"/>
      <x:c r="J130" s="325"/>
      <x:c r="K130" s="325"/>
      <x:c r="L130" s="325"/>
      <x:c r="M130" s="325"/>
      <x:c r="N130" s="325"/>
      <x:c r="O130" s="325"/>
      <x:c r="P130" s="326" t="str">
        <x:f>IF(OR($A130="",H130=""),"",H130*M130*N130*O130)</x:f>
      </x:c>
      <x:c r="Q130" s="326" t="str">
        <x:f>IF(OR($A130="",I130=""),"",I130*M130*N130*O130)</x:f>
      </x:c>
      <x:c r="R130" s="326" t="str">
        <x:f>IF(OR($A130="",J130=""),"",J130*M130*N130*O130)</x:f>
      </x:c>
      <x:c r="S130" s="323"/>
      <x:c r="T130" s="323"/>
      <x:c r="U130" s="323"/>
      <x:c r="V130" s="323"/>
      <x:c r="W130" s="327" t="str">
        <x:f>IF(A130="","",IF(OR(B130="",G130="",Q130="",S130="",T130="",U130=""),"INCOMPLETO",IF(OR(M130&lt;=0,N130&lt;=0,O130&lt;=0),"REVISAR FACTORES",IF(S130="X","EXCLUIDO",IF(OR(T130="Baja",S130="D"),"EXPLORATORIO","LISTO")))))</x:f>
      </x:c>
      <x:c r="X130" s="257"/>
      <x:c r="Y130" s="257"/>
      <x:c r="Z130" s="257"/>
      <x:c r="AA130" s="257"/>
      <x:c r="AB130" s="257"/>
      <x:c r="AC130" s="257"/>
      <x:c r="AD130" s="257"/>
      <x:c r="AE130" s="257"/>
      <x:c r="AF130" s="257"/>
      <x:c r="AG130" s="257"/>
      <x:c r="AH130" s="257"/>
      <x:c r="AI130" s="257"/>
    </x:row>
    <x:row r="131" ht="22" customHeight="1">
      <x:c r="A131" s="323"/>
      <x:c r="B131" s="323"/>
      <x:c r="C131" s="323"/>
      <x:c r="D131" s="323"/>
      <x:c r="E131" s="324"/>
      <x:c r="F131" s="323"/>
      <x:c r="G131" s="323"/>
      <x:c r="H131" s="325"/>
      <x:c r="I131" s="325"/>
      <x:c r="J131" s="325"/>
      <x:c r="K131" s="325"/>
      <x:c r="L131" s="325"/>
      <x:c r="M131" s="325"/>
      <x:c r="N131" s="325"/>
      <x:c r="O131" s="325"/>
      <x:c r="P131" s="326" t="str">
        <x:f>IF(OR($A131="",H131=""),"",H131*M131*N131*O131)</x:f>
      </x:c>
      <x:c r="Q131" s="326" t="str">
        <x:f>IF(OR($A131="",I131=""),"",I131*M131*N131*O131)</x:f>
      </x:c>
      <x:c r="R131" s="326" t="str">
        <x:f>IF(OR($A131="",J131=""),"",J131*M131*N131*O131)</x:f>
      </x:c>
      <x:c r="S131" s="323"/>
      <x:c r="T131" s="323"/>
      <x:c r="U131" s="323"/>
      <x:c r="V131" s="323"/>
      <x:c r="W131" s="327" t="str">
        <x:f>IF(A131="","",IF(OR(B131="",G131="",Q131="",S131="",T131="",U131=""),"INCOMPLETO",IF(OR(M131&lt;=0,N131&lt;=0,O131&lt;=0),"REVISAR FACTORES",IF(S131="X","EXCLUIDO",IF(OR(T131="Baja",S131="D"),"EXPLORATORIO","LISTO")))))</x:f>
      </x:c>
      <x:c r="X131" s="257"/>
      <x:c r="Y131" s="257"/>
      <x:c r="Z131" s="257"/>
      <x:c r="AA131" s="257"/>
      <x:c r="AB131" s="257"/>
      <x:c r="AC131" s="257"/>
      <x:c r="AD131" s="257"/>
      <x:c r="AE131" s="257"/>
      <x:c r="AF131" s="257"/>
      <x:c r="AG131" s="257"/>
      <x:c r="AH131" s="257"/>
      <x:c r="AI131" s="257"/>
    </x:row>
    <x:row r="132" ht="22" customHeight="1">
      <x:c r="A132" s="323"/>
      <x:c r="B132" s="323"/>
      <x:c r="C132" s="323"/>
      <x:c r="D132" s="323"/>
      <x:c r="E132" s="324"/>
      <x:c r="F132" s="323"/>
      <x:c r="G132" s="323"/>
      <x:c r="H132" s="325"/>
      <x:c r="I132" s="325"/>
      <x:c r="J132" s="325"/>
      <x:c r="K132" s="325"/>
      <x:c r="L132" s="325"/>
      <x:c r="M132" s="325"/>
      <x:c r="N132" s="325"/>
      <x:c r="O132" s="325"/>
      <x:c r="P132" s="326" t="str">
        <x:f>IF(OR($A132="",H132=""),"",H132*M132*N132*O132)</x:f>
      </x:c>
      <x:c r="Q132" s="326" t="str">
        <x:f>IF(OR($A132="",I132=""),"",I132*M132*N132*O132)</x:f>
      </x:c>
      <x:c r="R132" s="326" t="str">
        <x:f>IF(OR($A132="",J132=""),"",J132*M132*N132*O132)</x:f>
      </x:c>
      <x:c r="S132" s="323"/>
      <x:c r="T132" s="323"/>
      <x:c r="U132" s="323"/>
      <x:c r="V132" s="323"/>
      <x:c r="W132" s="327" t="str">
        <x:f>IF(A132="","",IF(OR(B132="",G132="",Q132="",S132="",T132="",U132=""),"INCOMPLETO",IF(OR(M132&lt;=0,N132&lt;=0,O132&lt;=0),"REVISAR FACTORES",IF(S132="X","EXCLUIDO",IF(OR(T132="Baja",S132="D"),"EXPLORATORIO","LISTO")))))</x:f>
      </x:c>
      <x:c r="X132" s="257"/>
      <x:c r="Y132" s="257"/>
      <x:c r="Z132" s="257"/>
      <x:c r="AA132" s="257"/>
      <x:c r="AB132" s="257"/>
      <x:c r="AC132" s="257"/>
      <x:c r="AD132" s="257"/>
      <x:c r="AE132" s="257"/>
      <x:c r="AF132" s="257"/>
      <x:c r="AG132" s="257"/>
      <x:c r="AH132" s="257"/>
      <x:c r="AI132" s="257"/>
    </x:row>
    <x:row r="133" ht="22" customHeight="1">
      <x:c r="A133" s="323"/>
      <x:c r="B133" s="323"/>
      <x:c r="C133" s="323"/>
      <x:c r="D133" s="323"/>
      <x:c r="E133" s="324"/>
      <x:c r="F133" s="323"/>
      <x:c r="G133" s="323"/>
      <x:c r="H133" s="325"/>
      <x:c r="I133" s="325"/>
      <x:c r="J133" s="325"/>
      <x:c r="K133" s="325"/>
      <x:c r="L133" s="325"/>
      <x:c r="M133" s="325"/>
      <x:c r="N133" s="325"/>
      <x:c r="O133" s="325"/>
      <x:c r="P133" s="326" t="str">
        <x:f>IF(OR($A133="",H133=""),"",H133*M133*N133*O133)</x:f>
      </x:c>
      <x:c r="Q133" s="326" t="str">
        <x:f>IF(OR($A133="",I133=""),"",I133*M133*N133*O133)</x:f>
      </x:c>
      <x:c r="R133" s="326" t="str">
        <x:f>IF(OR($A133="",J133=""),"",J133*M133*N133*O133)</x:f>
      </x:c>
      <x:c r="S133" s="323"/>
      <x:c r="T133" s="323"/>
      <x:c r="U133" s="323"/>
      <x:c r="V133" s="323"/>
      <x:c r="W133" s="327" t="str">
        <x:f>IF(A133="","",IF(OR(B133="",G133="",Q133="",S133="",T133="",U133=""),"INCOMPLETO",IF(OR(M133&lt;=0,N133&lt;=0,O133&lt;=0),"REVISAR FACTORES",IF(S133="X","EXCLUIDO",IF(OR(T133="Baja",S133="D"),"EXPLORATORIO","LISTO")))))</x:f>
      </x:c>
      <x:c r="X133" s="257"/>
      <x:c r="Y133" s="257"/>
      <x:c r="Z133" s="257"/>
      <x:c r="AA133" s="257"/>
      <x:c r="AB133" s="257"/>
      <x:c r="AC133" s="257"/>
      <x:c r="AD133" s="257"/>
      <x:c r="AE133" s="257"/>
      <x:c r="AF133" s="257"/>
      <x:c r="AG133" s="257"/>
      <x:c r="AH133" s="257"/>
      <x:c r="AI133" s="257"/>
    </x:row>
    <x:row r="134" ht="22" customHeight="1">
      <x:c r="A134" s="323"/>
      <x:c r="B134" s="323"/>
      <x:c r="C134" s="323"/>
      <x:c r="D134" s="323"/>
      <x:c r="E134" s="324"/>
      <x:c r="F134" s="323"/>
      <x:c r="G134" s="323"/>
      <x:c r="H134" s="325"/>
      <x:c r="I134" s="325"/>
      <x:c r="J134" s="325"/>
      <x:c r="K134" s="325"/>
      <x:c r="L134" s="325"/>
      <x:c r="M134" s="325"/>
      <x:c r="N134" s="325"/>
      <x:c r="O134" s="325"/>
      <x:c r="P134" s="326" t="str">
        <x:f>IF(OR($A134="",H134=""),"",H134*M134*N134*O134)</x:f>
      </x:c>
      <x:c r="Q134" s="326" t="str">
        <x:f>IF(OR($A134="",I134=""),"",I134*M134*N134*O134)</x:f>
      </x:c>
      <x:c r="R134" s="326" t="str">
        <x:f>IF(OR($A134="",J134=""),"",J134*M134*N134*O134)</x:f>
      </x:c>
      <x:c r="S134" s="323"/>
      <x:c r="T134" s="323"/>
      <x:c r="U134" s="323"/>
      <x:c r="V134" s="323"/>
      <x:c r="W134" s="327" t="str">
        <x:f>IF(A134="","",IF(OR(B134="",G134="",Q134="",S134="",T134="",U134=""),"INCOMPLETO",IF(OR(M134&lt;=0,N134&lt;=0,O134&lt;=0),"REVISAR FACTORES",IF(S134="X","EXCLUIDO",IF(OR(T134="Baja",S134="D"),"EXPLORATORIO","LISTO")))))</x:f>
      </x:c>
      <x:c r="X134" s="257"/>
      <x:c r="Y134" s="257"/>
      <x:c r="Z134" s="257"/>
      <x:c r="AA134" s="257"/>
      <x:c r="AB134" s="257"/>
      <x:c r="AC134" s="257"/>
      <x:c r="AD134" s="257"/>
      <x:c r="AE134" s="257"/>
      <x:c r="AF134" s="257"/>
      <x:c r="AG134" s="257"/>
      <x:c r="AH134" s="257"/>
      <x:c r="AI134" s="257"/>
    </x:row>
    <x:row r="135" ht="22" customHeight="1">
      <x:c r="A135" s="323"/>
      <x:c r="B135" s="323"/>
      <x:c r="C135" s="323"/>
      <x:c r="D135" s="323"/>
      <x:c r="E135" s="324"/>
      <x:c r="F135" s="323"/>
      <x:c r="G135" s="323"/>
      <x:c r="H135" s="325"/>
      <x:c r="I135" s="325"/>
      <x:c r="J135" s="325"/>
      <x:c r="K135" s="325"/>
      <x:c r="L135" s="325"/>
      <x:c r="M135" s="325"/>
      <x:c r="N135" s="325"/>
      <x:c r="O135" s="325"/>
      <x:c r="P135" s="326" t="str">
        <x:f>IF(OR($A135="",H135=""),"",H135*M135*N135*O135)</x:f>
      </x:c>
      <x:c r="Q135" s="326" t="str">
        <x:f>IF(OR($A135="",I135=""),"",I135*M135*N135*O135)</x:f>
      </x:c>
      <x:c r="R135" s="326" t="str">
        <x:f>IF(OR($A135="",J135=""),"",J135*M135*N135*O135)</x:f>
      </x:c>
      <x:c r="S135" s="323"/>
      <x:c r="T135" s="323"/>
      <x:c r="U135" s="323"/>
      <x:c r="V135" s="323"/>
      <x:c r="W135" s="327" t="str">
        <x:f>IF(A135="","",IF(OR(B135="",G135="",Q135="",S135="",T135="",U135=""),"INCOMPLETO",IF(OR(M135&lt;=0,N135&lt;=0,O135&lt;=0),"REVISAR FACTORES",IF(S135="X","EXCLUIDO",IF(OR(T135="Baja",S135="D"),"EXPLORATORIO","LISTO")))))</x:f>
      </x:c>
      <x:c r="X135" s="257"/>
      <x:c r="Y135" s="257"/>
      <x:c r="Z135" s="257"/>
      <x:c r="AA135" s="257"/>
      <x:c r="AB135" s="257"/>
      <x:c r="AC135" s="257"/>
      <x:c r="AD135" s="257"/>
      <x:c r="AE135" s="257"/>
      <x:c r="AF135" s="257"/>
      <x:c r="AG135" s="257"/>
      <x:c r="AH135" s="257"/>
      <x:c r="AI135" s="257"/>
    </x:row>
    <x:row r="136" ht="22" customHeight="1">
      <x:c r="A136" s="323"/>
      <x:c r="B136" s="323"/>
      <x:c r="C136" s="323"/>
      <x:c r="D136" s="323"/>
      <x:c r="E136" s="324"/>
      <x:c r="F136" s="323"/>
      <x:c r="G136" s="323"/>
      <x:c r="H136" s="325"/>
      <x:c r="I136" s="325"/>
      <x:c r="J136" s="325"/>
      <x:c r="K136" s="325"/>
      <x:c r="L136" s="325"/>
      <x:c r="M136" s="325"/>
      <x:c r="N136" s="325"/>
      <x:c r="O136" s="325"/>
      <x:c r="P136" s="326" t="str">
        <x:f>IF(OR($A136="",H136=""),"",H136*M136*N136*O136)</x:f>
      </x:c>
      <x:c r="Q136" s="326" t="str">
        <x:f>IF(OR($A136="",I136=""),"",I136*M136*N136*O136)</x:f>
      </x:c>
      <x:c r="R136" s="326" t="str">
        <x:f>IF(OR($A136="",J136=""),"",J136*M136*N136*O136)</x:f>
      </x:c>
      <x:c r="S136" s="323"/>
      <x:c r="T136" s="323"/>
      <x:c r="U136" s="323"/>
      <x:c r="V136" s="323"/>
      <x:c r="W136" s="327" t="str">
        <x:f>IF(A136="","",IF(OR(B136="",G136="",Q136="",S136="",T136="",U136=""),"INCOMPLETO",IF(OR(M136&lt;=0,N136&lt;=0,O136&lt;=0),"REVISAR FACTORES",IF(S136="X","EXCLUIDO",IF(OR(T136="Baja",S136="D"),"EXPLORATORIO","LISTO")))))</x:f>
      </x:c>
      <x:c r="X136" s="257"/>
      <x:c r="Y136" s="257"/>
      <x:c r="Z136" s="257"/>
      <x:c r="AA136" s="257"/>
      <x:c r="AB136" s="257"/>
      <x:c r="AC136" s="257"/>
      <x:c r="AD136" s="257"/>
      <x:c r="AE136" s="257"/>
      <x:c r="AF136" s="257"/>
      <x:c r="AG136" s="257"/>
      <x:c r="AH136" s="257"/>
      <x:c r="AI136" s="257"/>
    </x:row>
    <x:row r="137" ht="22" customHeight="1">
      <x:c r="A137" s="323"/>
      <x:c r="B137" s="323"/>
      <x:c r="C137" s="323"/>
      <x:c r="D137" s="323"/>
      <x:c r="E137" s="324"/>
      <x:c r="F137" s="323"/>
      <x:c r="G137" s="323"/>
      <x:c r="H137" s="325"/>
      <x:c r="I137" s="325"/>
      <x:c r="J137" s="325"/>
      <x:c r="K137" s="325"/>
      <x:c r="L137" s="325"/>
      <x:c r="M137" s="325"/>
      <x:c r="N137" s="325"/>
      <x:c r="O137" s="325"/>
      <x:c r="P137" s="326" t="str">
        <x:f>IF(OR($A137="",H137=""),"",H137*M137*N137*O137)</x:f>
      </x:c>
      <x:c r="Q137" s="326" t="str">
        <x:f>IF(OR($A137="",I137=""),"",I137*M137*N137*O137)</x:f>
      </x:c>
      <x:c r="R137" s="326" t="str">
        <x:f>IF(OR($A137="",J137=""),"",J137*M137*N137*O137)</x:f>
      </x:c>
      <x:c r="S137" s="323"/>
      <x:c r="T137" s="323"/>
      <x:c r="U137" s="323"/>
      <x:c r="V137" s="323"/>
      <x:c r="W137" s="327" t="str">
        <x:f>IF(A137="","",IF(OR(B137="",G137="",Q137="",S137="",T137="",U137=""),"INCOMPLETO",IF(OR(M137&lt;=0,N137&lt;=0,O137&lt;=0),"REVISAR FACTORES",IF(S137="X","EXCLUIDO",IF(OR(T137="Baja",S137="D"),"EXPLORATORIO","LISTO")))))</x:f>
      </x:c>
      <x:c r="X137" s="257"/>
      <x:c r="Y137" s="257"/>
      <x:c r="Z137" s="257"/>
      <x:c r="AA137" s="257"/>
      <x:c r="AB137" s="257"/>
      <x:c r="AC137" s="257"/>
      <x:c r="AD137" s="257"/>
      <x:c r="AE137" s="257"/>
      <x:c r="AF137" s="257"/>
      <x:c r="AG137" s="257"/>
      <x:c r="AH137" s="257"/>
      <x:c r="AI137" s="257"/>
    </x:row>
    <x:row r="138" ht="22" customHeight="1">
      <x:c r="A138" s="323"/>
      <x:c r="B138" s="323"/>
      <x:c r="C138" s="323"/>
      <x:c r="D138" s="323"/>
      <x:c r="E138" s="324"/>
      <x:c r="F138" s="323"/>
      <x:c r="G138" s="323"/>
      <x:c r="H138" s="325"/>
      <x:c r="I138" s="325"/>
      <x:c r="J138" s="325"/>
      <x:c r="K138" s="325"/>
      <x:c r="L138" s="325"/>
      <x:c r="M138" s="325"/>
      <x:c r="N138" s="325"/>
      <x:c r="O138" s="325"/>
      <x:c r="P138" s="326" t="str">
        <x:f>IF(OR($A138="",H138=""),"",H138*M138*N138*O138)</x:f>
      </x:c>
      <x:c r="Q138" s="326" t="str">
        <x:f>IF(OR($A138="",I138=""),"",I138*M138*N138*O138)</x:f>
      </x:c>
      <x:c r="R138" s="326" t="str">
        <x:f>IF(OR($A138="",J138=""),"",J138*M138*N138*O138)</x:f>
      </x:c>
      <x:c r="S138" s="323"/>
      <x:c r="T138" s="323"/>
      <x:c r="U138" s="323"/>
      <x:c r="V138" s="323"/>
      <x:c r="W138" s="327" t="str">
        <x:f>IF(A138="","",IF(OR(B138="",G138="",Q138="",S138="",T138="",U138=""),"INCOMPLETO",IF(OR(M138&lt;=0,N138&lt;=0,O138&lt;=0),"REVISAR FACTORES",IF(S138="X","EXCLUIDO",IF(OR(T138="Baja",S138="D"),"EXPLORATORIO","LISTO")))))</x:f>
      </x:c>
      <x:c r="X138" s="257"/>
      <x:c r="Y138" s="257"/>
      <x:c r="Z138" s="257"/>
      <x:c r="AA138" s="257"/>
      <x:c r="AB138" s="257"/>
      <x:c r="AC138" s="257"/>
      <x:c r="AD138" s="257"/>
      <x:c r="AE138" s="257"/>
      <x:c r="AF138" s="257"/>
      <x:c r="AG138" s="257"/>
      <x:c r="AH138" s="257"/>
      <x:c r="AI138" s="257"/>
    </x:row>
    <x:row r="139" ht="22" customHeight="1">
      <x:c r="A139" s="323"/>
      <x:c r="B139" s="323"/>
      <x:c r="C139" s="323"/>
      <x:c r="D139" s="323"/>
      <x:c r="E139" s="324"/>
      <x:c r="F139" s="323"/>
      <x:c r="G139" s="323"/>
      <x:c r="H139" s="325"/>
      <x:c r="I139" s="325"/>
      <x:c r="J139" s="325"/>
      <x:c r="K139" s="325"/>
      <x:c r="L139" s="325"/>
      <x:c r="M139" s="325"/>
      <x:c r="N139" s="325"/>
      <x:c r="O139" s="325"/>
      <x:c r="P139" s="326" t="str">
        <x:f>IF(OR($A139="",H139=""),"",H139*M139*N139*O139)</x:f>
      </x:c>
      <x:c r="Q139" s="326" t="str">
        <x:f>IF(OR($A139="",I139=""),"",I139*M139*N139*O139)</x:f>
      </x:c>
      <x:c r="R139" s="326" t="str">
        <x:f>IF(OR($A139="",J139=""),"",J139*M139*N139*O139)</x:f>
      </x:c>
      <x:c r="S139" s="323"/>
      <x:c r="T139" s="323"/>
      <x:c r="U139" s="323"/>
      <x:c r="V139" s="323"/>
      <x:c r="W139" s="327" t="str">
        <x:f>IF(A139="","",IF(OR(B139="",G139="",Q139="",S139="",T139="",U139=""),"INCOMPLETO",IF(OR(M139&lt;=0,N139&lt;=0,O139&lt;=0),"REVISAR FACTORES",IF(S139="X","EXCLUIDO",IF(OR(T139="Baja",S139="D"),"EXPLORATORIO","LISTO")))))</x:f>
      </x:c>
      <x:c r="X139" s="257"/>
      <x:c r="Y139" s="257"/>
      <x:c r="Z139" s="257"/>
      <x:c r="AA139" s="257"/>
      <x:c r="AB139" s="257"/>
      <x:c r="AC139" s="257"/>
      <x:c r="AD139" s="257"/>
      <x:c r="AE139" s="257"/>
      <x:c r="AF139" s="257"/>
      <x:c r="AG139" s="257"/>
      <x:c r="AH139" s="257"/>
      <x:c r="AI139" s="257"/>
    </x:row>
    <x:row r="140" ht="22" customHeight="1">
      <x:c r="A140" s="323"/>
      <x:c r="B140" s="323"/>
      <x:c r="C140" s="323"/>
      <x:c r="D140" s="323"/>
      <x:c r="E140" s="324"/>
      <x:c r="F140" s="323"/>
      <x:c r="G140" s="323"/>
      <x:c r="H140" s="325"/>
      <x:c r="I140" s="325"/>
      <x:c r="J140" s="325"/>
      <x:c r="K140" s="325"/>
      <x:c r="L140" s="325"/>
      <x:c r="M140" s="325"/>
      <x:c r="N140" s="325"/>
      <x:c r="O140" s="325"/>
      <x:c r="P140" s="326" t="str">
        <x:f>IF(OR($A140="",H140=""),"",H140*M140*N140*O140)</x:f>
      </x:c>
      <x:c r="Q140" s="326" t="str">
        <x:f>IF(OR($A140="",I140=""),"",I140*M140*N140*O140)</x:f>
      </x:c>
      <x:c r="R140" s="326" t="str">
        <x:f>IF(OR($A140="",J140=""),"",J140*M140*N140*O140)</x:f>
      </x:c>
      <x:c r="S140" s="323"/>
      <x:c r="T140" s="323"/>
      <x:c r="U140" s="323"/>
      <x:c r="V140" s="323"/>
      <x:c r="W140" s="327" t="str">
        <x:f>IF(A140="","",IF(OR(B140="",G140="",Q140="",S140="",T140="",U140=""),"INCOMPLETO",IF(OR(M140&lt;=0,N140&lt;=0,O140&lt;=0),"REVISAR FACTORES",IF(S140="X","EXCLUIDO",IF(OR(T140="Baja",S140="D"),"EXPLORATORIO","LISTO")))))</x:f>
      </x:c>
      <x:c r="X140" s="257"/>
      <x:c r="Y140" s="257"/>
      <x:c r="Z140" s="257"/>
      <x:c r="AA140" s="257"/>
      <x:c r="AB140" s="257"/>
      <x:c r="AC140" s="257"/>
      <x:c r="AD140" s="257"/>
      <x:c r="AE140" s="257"/>
      <x:c r="AF140" s="257"/>
      <x:c r="AG140" s="257"/>
      <x:c r="AH140" s="257"/>
      <x:c r="AI140" s="257"/>
    </x:row>
    <x:row r="141" ht="22" customHeight="1">
      <x:c r="A141" s="323"/>
      <x:c r="B141" s="323"/>
      <x:c r="C141" s="323"/>
      <x:c r="D141" s="323"/>
      <x:c r="E141" s="324"/>
      <x:c r="F141" s="323"/>
      <x:c r="G141" s="323"/>
      <x:c r="H141" s="325"/>
      <x:c r="I141" s="325"/>
      <x:c r="J141" s="325"/>
      <x:c r="K141" s="325"/>
      <x:c r="L141" s="325"/>
      <x:c r="M141" s="325"/>
      <x:c r="N141" s="325"/>
      <x:c r="O141" s="325"/>
      <x:c r="P141" s="326" t="str">
        <x:f>IF(OR($A141="",H141=""),"",H141*M141*N141*O141)</x:f>
      </x:c>
      <x:c r="Q141" s="326" t="str">
        <x:f>IF(OR($A141="",I141=""),"",I141*M141*N141*O141)</x:f>
      </x:c>
      <x:c r="R141" s="326" t="str">
        <x:f>IF(OR($A141="",J141=""),"",J141*M141*N141*O141)</x:f>
      </x:c>
      <x:c r="S141" s="323"/>
      <x:c r="T141" s="323"/>
      <x:c r="U141" s="323"/>
      <x:c r="V141" s="323"/>
      <x:c r="W141" s="327" t="str">
        <x:f>IF(A141="","",IF(OR(B141="",G141="",Q141="",S141="",T141="",U141=""),"INCOMPLETO",IF(OR(M141&lt;=0,N141&lt;=0,O141&lt;=0),"REVISAR FACTORES",IF(S141="X","EXCLUIDO",IF(OR(T141="Baja",S141="D"),"EXPLORATORIO","LISTO")))))</x:f>
      </x:c>
      <x:c r="X141" s="257"/>
      <x:c r="Y141" s="257"/>
      <x:c r="Z141" s="257"/>
      <x:c r="AA141" s="257"/>
      <x:c r="AB141" s="257"/>
      <x:c r="AC141" s="257"/>
      <x:c r="AD141" s="257"/>
      <x:c r="AE141" s="257"/>
      <x:c r="AF141" s="257"/>
      <x:c r="AG141" s="257"/>
      <x:c r="AH141" s="257"/>
      <x:c r="AI141" s="257"/>
    </x:row>
    <x:row r="142" ht="22" customHeight="1">
      <x:c r="A142" s="323"/>
      <x:c r="B142" s="323"/>
      <x:c r="C142" s="323"/>
      <x:c r="D142" s="323"/>
      <x:c r="E142" s="324"/>
      <x:c r="F142" s="323"/>
      <x:c r="G142" s="323"/>
      <x:c r="H142" s="325"/>
      <x:c r="I142" s="325"/>
      <x:c r="J142" s="325"/>
      <x:c r="K142" s="325"/>
      <x:c r="L142" s="325"/>
      <x:c r="M142" s="325"/>
      <x:c r="N142" s="325"/>
      <x:c r="O142" s="325"/>
      <x:c r="P142" s="326" t="str">
        <x:f>IF(OR($A142="",H142=""),"",H142*M142*N142*O142)</x:f>
      </x:c>
      <x:c r="Q142" s="326" t="str">
        <x:f>IF(OR($A142="",I142=""),"",I142*M142*N142*O142)</x:f>
      </x:c>
      <x:c r="R142" s="326" t="str">
        <x:f>IF(OR($A142="",J142=""),"",J142*M142*N142*O142)</x:f>
      </x:c>
      <x:c r="S142" s="323"/>
      <x:c r="T142" s="323"/>
      <x:c r="U142" s="323"/>
      <x:c r="V142" s="323"/>
      <x:c r="W142" s="327" t="str">
        <x:f>IF(A142="","",IF(OR(B142="",G142="",Q142="",S142="",T142="",U142=""),"INCOMPLETO",IF(OR(M142&lt;=0,N142&lt;=0,O142&lt;=0),"REVISAR FACTORES",IF(S142="X","EXCLUIDO",IF(OR(T142="Baja",S142="D"),"EXPLORATORIO","LISTO")))))</x:f>
      </x:c>
      <x:c r="X142" s="257"/>
      <x:c r="Y142" s="257"/>
      <x:c r="Z142" s="257"/>
      <x:c r="AA142" s="257"/>
      <x:c r="AB142" s="257"/>
      <x:c r="AC142" s="257"/>
      <x:c r="AD142" s="257"/>
      <x:c r="AE142" s="257"/>
      <x:c r="AF142" s="257"/>
      <x:c r="AG142" s="257"/>
      <x:c r="AH142" s="257"/>
      <x:c r="AI142" s="257"/>
    </x:row>
    <x:row r="143" ht="22" customHeight="1">
      <x:c r="A143" s="323"/>
      <x:c r="B143" s="323"/>
      <x:c r="C143" s="323"/>
      <x:c r="D143" s="323"/>
      <x:c r="E143" s="324"/>
      <x:c r="F143" s="323"/>
      <x:c r="G143" s="323"/>
      <x:c r="H143" s="325"/>
      <x:c r="I143" s="325"/>
      <x:c r="J143" s="325"/>
      <x:c r="K143" s="325"/>
      <x:c r="L143" s="325"/>
      <x:c r="M143" s="325"/>
      <x:c r="N143" s="325"/>
      <x:c r="O143" s="325"/>
      <x:c r="P143" s="326" t="str">
        <x:f>IF(OR($A143="",H143=""),"",H143*M143*N143*O143)</x:f>
      </x:c>
      <x:c r="Q143" s="326" t="str">
        <x:f>IF(OR($A143="",I143=""),"",I143*M143*N143*O143)</x:f>
      </x:c>
      <x:c r="R143" s="326" t="str">
        <x:f>IF(OR($A143="",J143=""),"",J143*M143*N143*O143)</x:f>
      </x:c>
      <x:c r="S143" s="323"/>
      <x:c r="T143" s="323"/>
      <x:c r="U143" s="323"/>
      <x:c r="V143" s="323"/>
      <x:c r="W143" s="327" t="str">
        <x:f>IF(A143="","",IF(OR(B143="",G143="",Q143="",S143="",T143="",U143=""),"INCOMPLETO",IF(OR(M143&lt;=0,N143&lt;=0,O143&lt;=0),"REVISAR FACTORES",IF(S143="X","EXCLUIDO",IF(OR(T143="Baja",S143="D"),"EXPLORATORIO","LISTO")))))</x:f>
      </x:c>
      <x:c r="X143" s="257"/>
      <x:c r="Y143" s="257"/>
      <x:c r="Z143" s="257"/>
      <x:c r="AA143" s="257"/>
      <x:c r="AB143" s="257"/>
      <x:c r="AC143" s="257"/>
      <x:c r="AD143" s="257"/>
      <x:c r="AE143" s="257"/>
      <x:c r="AF143" s="257"/>
      <x:c r="AG143" s="257"/>
      <x:c r="AH143" s="257"/>
      <x:c r="AI143" s="257"/>
    </x:row>
    <x:row r="144" ht="22" customHeight="1">
      <x:c r="A144" s="323"/>
      <x:c r="B144" s="323"/>
      <x:c r="C144" s="323"/>
      <x:c r="D144" s="323"/>
      <x:c r="E144" s="324"/>
      <x:c r="F144" s="323"/>
      <x:c r="G144" s="323"/>
      <x:c r="H144" s="325"/>
      <x:c r="I144" s="325"/>
      <x:c r="J144" s="325"/>
      <x:c r="K144" s="325"/>
      <x:c r="L144" s="325"/>
      <x:c r="M144" s="325"/>
      <x:c r="N144" s="325"/>
      <x:c r="O144" s="325"/>
      <x:c r="P144" s="326" t="str">
        <x:f>IF(OR($A144="",H144=""),"",H144*M144*N144*O144)</x:f>
      </x:c>
      <x:c r="Q144" s="326" t="str">
        <x:f>IF(OR($A144="",I144=""),"",I144*M144*N144*O144)</x:f>
      </x:c>
      <x:c r="R144" s="326" t="str">
        <x:f>IF(OR($A144="",J144=""),"",J144*M144*N144*O144)</x:f>
      </x:c>
      <x:c r="S144" s="323"/>
      <x:c r="T144" s="323"/>
      <x:c r="U144" s="323"/>
      <x:c r="V144" s="323"/>
      <x:c r="W144" s="327" t="str">
        <x:f>IF(A144="","",IF(OR(B144="",G144="",Q144="",S144="",T144="",U144=""),"INCOMPLETO",IF(OR(M144&lt;=0,N144&lt;=0,O144&lt;=0),"REVISAR FACTORES",IF(S144="X","EXCLUIDO",IF(OR(T144="Baja",S144="D"),"EXPLORATORIO","LISTO")))))</x:f>
      </x:c>
      <x:c r="X144" s="257"/>
      <x:c r="Y144" s="257"/>
      <x:c r="Z144" s="257"/>
      <x:c r="AA144" s="257"/>
      <x:c r="AB144" s="257"/>
      <x:c r="AC144" s="257"/>
      <x:c r="AD144" s="257"/>
      <x:c r="AE144" s="257"/>
      <x:c r="AF144" s="257"/>
      <x:c r="AG144" s="257"/>
      <x:c r="AH144" s="257"/>
      <x:c r="AI144" s="257"/>
    </x:row>
    <x:row r="145" ht="22" customHeight="1">
      <x:c r="A145" s="323"/>
      <x:c r="B145" s="323"/>
      <x:c r="C145" s="323"/>
      <x:c r="D145" s="323"/>
      <x:c r="E145" s="324"/>
      <x:c r="F145" s="323"/>
      <x:c r="G145" s="323"/>
      <x:c r="H145" s="325"/>
      <x:c r="I145" s="325"/>
      <x:c r="J145" s="325"/>
      <x:c r="K145" s="325"/>
      <x:c r="L145" s="325"/>
      <x:c r="M145" s="325"/>
      <x:c r="N145" s="325"/>
      <x:c r="O145" s="325"/>
      <x:c r="P145" s="326" t="str">
        <x:f>IF(OR($A145="",H145=""),"",H145*M145*N145*O145)</x:f>
      </x:c>
      <x:c r="Q145" s="326" t="str">
        <x:f>IF(OR($A145="",I145=""),"",I145*M145*N145*O145)</x:f>
      </x:c>
      <x:c r="R145" s="326" t="str">
        <x:f>IF(OR($A145="",J145=""),"",J145*M145*N145*O145)</x:f>
      </x:c>
      <x:c r="S145" s="323"/>
      <x:c r="T145" s="323"/>
      <x:c r="U145" s="323"/>
      <x:c r="V145" s="323"/>
      <x:c r="W145" s="327" t="str">
        <x:f>IF(A145="","",IF(OR(B145="",G145="",Q145="",S145="",T145="",U145=""),"INCOMPLETO",IF(OR(M145&lt;=0,N145&lt;=0,O145&lt;=0),"REVISAR FACTORES",IF(S145="X","EXCLUIDO",IF(OR(T145="Baja",S145="D"),"EXPLORATORIO","LISTO")))))</x:f>
      </x:c>
      <x:c r="X145" s="257"/>
      <x:c r="Y145" s="257"/>
      <x:c r="Z145" s="257"/>
      <x:c r="AA145" s="257"/>
      <x:c r="AB145" s="257"/>
      <x:c r="AC145" s="257"/>
      <x:c r="AD145" s="257"/>
      <x:c r="AE145" s="257"/>
      <x:c r="AF145" s="257"/>
      <x:c r="AG145" s="257"/>
      <x:c r="AH145" s="257"/>
      <x:c r="AI145" s="257"/>
    </x:row>
    <x:row r="146" ht="22" customHeight="1">
      <x:c r="A146" s="323"/>
      <x:c r="B146" s="323"/>
      <x:c r="C146" s="323"/>
      <x:c r="D146" s="323"/>
      <x:c r="E146" s="324"/>
      <x:c r="F146" s="323"/>
      <x:c r="G146" s="323"/>
      <x:c r="H146" s="325"/>
      <x:c r="I146" s="325"/>
      <x:c r="J146" s="325"/>
      <x:c r="K146" s="325"/>
      <x:c r="L146" s="325"/>
      <x:c r="M146" s="325"/>
      <x:c r="N146" s="325"/>
      <x:c r="O146" s="325"/>
      <x:c r="P146" s="326" t="str">
        <x:f>IF(OR($A146="",H146=""),"",H146*M146*N146*O146)</x:f>
      </x:c>
      <x:c r="Q146" s="326" t="str">
        <x:f>IF(OR($A146="",I146=""),"",I146*M146*N146*O146)</x:f>
      </x:c>
      <x:c r="R146" s="326" t="str">
        <x:f>IF(OR($A146="",J146=""),"",J146*M146*N146*O146)</x:f>
      </x:c>
      <x:c r="S146" s="323"/>
      <x:c r="T146" s="323"/>
      <x:c r="U146" s="323"/>
      <x:c r="V146" s="323"/>
      <x:c r="W146" s="327" t="str">
        <x:f>IF(A146="","",IF(OR(B146="",G146="",Q146="",S146="",T146="",U146=""),"INCOMPLETO",IF(OR(M146&lt;=0,N146&lt;=0,O146&lt;=0),"REVISAR FACTORES",IF(S146="X","EXCLUIDO",IF(OR(T146="Baja",S146="D"),"EXPLORATORIO","LISTO")))))</x:f>
      </x:c>
      <x:c r="X146" s="257"/>
      <x:c r="Y146" s="257"/>
      <x:c r="Z146" s="257"/>
      <x:c r="AA146" s="257"/>
      <x:c r="AB146" s="257"/>
      <x:c r="AC146" s="257"/>
      <x:c r="AD146" s="257"/>
      <x:c r="AE146" s="257"/>
      <x:c r="AF146" s="257"/>
      <x:c r="AG146" s="257"/>
      <x:c r="AH146" s="257"/>
      <x:c r="AI146" s="257"/>
    </x:row>
    <x:row r="147" ht="22" customHeight="1">
      <x:c r="A147" s="323"/>
      <x:c r="B147" s="323"/>
      <x:c r="C147" s="323"/>
      <x:c r="D147" s="323"/>
      <x:c r="E147" s="324"/>
      <x:c r="F147" s="323"/>
      <x:c r="G147" s="323"/>
      <x:c r="H147" s="325"/>
      <x:c r="I147" s="325"/>
      <x:c r="J147" s="325"/>
      <x:c r="K147" s="325"/>
      <x:c r="L147" s="325"/>
      <x:c r="M147" s="325"/>
      <x:c r="N147" s="325"/>
      <x:c r="O147" s="325"/>
      <x:c r="P147" s="326" t="str">
        <x:f>IF(OR($A147="",H147=""),"",H147*M147*N147*O147)</x:f>
      </x:c>
      <x:c r="Q147" s="326" t="str">
        <x:f>IF(OR($A147="",I147=""),"",I147*M147*N147*O147)</x:f>
      </x:c>
      <x:c r="R147" s="326" t="str">
        <x:f>IF(OR($A147="",J147=""),"",J147*M147*N147*O147)</x:f>
      </x:c>
      <x:c r="S147" s="323"/>
      <x:c r="T147" s="323"/>
      <x:c r="U147" s="323"/>
      <x:c r="V147" s="323"/>
      <x:c r="W147" s="327" t="str">
        <x:f>IF(A147="","",IF(OR(B147="",G147="",Q147="",S147="",T147="",U147=""),"INCOMPLETO",IF(OR(M147&lt;=0,N147&lt;=0,O147&lt;=0),"REVISAR FACTORES",IF(S147="X","EXCLUIDO",IF(OR(T147="Baja",S147="D"),"EXPLORATORIO","LISTO")))))</x:f>
      </x:c>
      <x:c r="X147" s="257"/>
      <x:c r="Y147" s="257"/>
      <x:c r="Z147" s="257"/>
      <x:c r="AA147" s="257"/>
      <x:c r="AB147" s="257"/>
      <x:c r="AC147" s="257"/>
      <x:c r="AD147" s="257"/>
      <x:c r="AE147" s="257"/>
      <x:c r="AF147" s="257"/>
      <x:c r="AG147" s="257"/>
      <x:c r="AH147" s="257"/>
      <x:c r="AI147" s="257"/>
    </x:row>
    <x:row r="148" ht="22" customHeight="1">
      <x:c r="A148" s="323"/>
      <x:c r="B148" s="323"/>
      <x:c r="C148" s="323"/>
      <x:c r="D148" s="323"/>
      <x:c r="E148" s="324"/>
      <x:c r="F148" s="323"/>
      <x:c r="G148" s="323"/>
      <x:c r="H148" s="325"/>
      <x:c r="I148" s="325"/>
      <x:c r="J148" s="325"/>
      <x:c r="K148" s="325"/>
      <x:c r="L148" s="325"/>
      <x:c r="M148" s="325"/>
      <x:c r="N148" s="325"/>
      <x:c r="O148" s="325"/>
      <x:c r="P148" s="326" t="str">
        <x:f>IF(OR($A148="",H148=""),"",H148*M148*N148*O148)</x:f>
      </x:c>
      <x:c r="Q148" s="326" t="str">
        <x:f>IF(OR($A148="",I148=""),"",I148*M148*N148*O148)</x:f>
      </x:c>
      <x:c r="R148" s="326" t="str">
        <x:f>IF(OR($A148="",J148=""),"",J148*M148*N148*O148)</x:f>
      </x:c>
      <x:c r="S148" s="323"/>
      <x:c r="T148" s="323"/>
      <x:c r="U148" s="323"/>
      <x:c r="V148" s="323"/>
      <x:c r="W148" s="327" t="str">
        <x:f>IF(A148="","",IF(OR(B148="",G148="",Q148="",S148="",T148="",U148=""),"INCOMPLETO",IF(OR(M148&lt;=0,N148&lt;=0,O148&lt;=0),"REVISAR FACTORES",IF(S148="X","EXCLUIDO",IF(OR(T148="Baja",S148="D"),"EXPLORATORIO","LISTO")))))</x:f>
      </x:c>
      <x:c r="X148" s="257"/>
      <x:c r="Y148" s="257"/>
      <x:c r="Z148" s="257"/>
      <x:c r="AA148" s="257"/>
      <x:c r="AB148" s="257"/>
      <x:c r="AC148" s="257"/>
      <x:c r="AD148" s="257"/>
      <x:c r="AE148" s="257"/>
      <x:c r="AF148" s="257"/>
      <x:c r="AG148" s="257"/>
      <x:c r="AH148" s="257"/>
      <x:c r="AI148" s="257"/>
    </x:row>
    <x:row r="149" ht="22" customHeight="1">
      <x:c r="A149" s="323"/>
      <x:c r="B149" s="323"/>
      <x:c r="C149" s="323"/>
      <x:c r="D149" s="323"/>
      <x:c r="E149" s="324"/>
      <x:c r="F149" s="323"/>
      <x:c r="G149" s="323"/>
      <x:c r="H149" s="325"/>
      <x:c r="I149" s="325"/>
      <x:c r="J149" s="325"/>
      <x:c r="K149" s="325"/>
      <x:c r="L149" s="325"/>
      <x:c r="M149" s="325"/>
      <x:c r="N149" s="325"/>
      <x:c r="O149" s="325"/>
      <x:c r="P149" s="326" t="str">
        <x:f>IF(OR($A149="",H149=""),"",H149*M149*N149*O149)</x:f>
      </x:c>
      <x:c r="Q149" s="326" t="str">
        <x:f>IF(OR($A149="",I149=""),"",I149*M149*N149*O149)</x:f>
      </x:c>
      <x:c r="R149" s="326" t="str">
        <x:f>IF(OR($A149="",J149=""),"",J149*M149*N149*O149)</x:f>
      </x:c>
      <x:c r="S149" s="323"/>
      <x:c r="T149" s="323"/>
      <x:c r="U149" s="323"/>
      <x:c r="V149" s="323"/>
      <x:c r="W149" s="327" t="str">
        <x:f>IF(A149="","",IF(OR(B149="",G149="",Q149="",S149="",T149="",U149=""),"INCOMPLETO",IF(OR(M149&lt;=0,N149&lt;=0,O149&lt;=0),"REVISAR FACTORES",IF(S149="X","EXCLUIDO",IF(OR(T149="Baja",S149="D"),"EXPLORATORIO","LISTO")))))</x:f>
      </x:c>
      <x:c r="X149" s="257"/>
      <x:c r="Y149" s="257"/>
      <x:c r="Z149" s="257"/>
      <x:c r="AA149" s="257"/>
      <x:c r="AB149" s="257"/>
      <x:c r="AC149" s="257"/>
      <x:c r="AD149" s="257"/>
      <x:c r="AE149" s="257"/>
      <x:c r="AF149" s="257"/>
      <x:c r="AG149" s="257"/>
      <x:c r="AH149" s="257"/>
      <x:c r="AI149" s="257"/>
    </x:row>
    <x:row r="150" ht="22" customHeight="1">
      <x:c r="A150" s="323"/>
      <x:c r="B150" s="323"/>
      <x:c r="C150" s="323"/>
      <x:c r="D150" s="323"/>
      <x:c r="E150" s="324"/>
      <x:c r="F150" s="323"/>
      <x:c r="G150" s="323"/>
      <x:c r="H150" s="325"/>
      <x:c r="I150" s="325"/>
      <x:c r="J150" s="325"/>
      <x:c r="K150" s="325"/>
      <x:c r="L150" s="325"/>
      <x:c r="M150" s="325"/>
      <x:c r="N150" s="325"/>
      <x:c r="O150" s="325"/>
      <x:c r="P150" s="326" t="str">
        <x:f>IF(OR($A150="",H150=""),"",H150*M150*N150*O150)</x:f>
      </x:c>
      <x:c r="Q150" s="326" t="str">
        <x:f>IF(OR($A150="",I150=""),"",I150*M150*N150*O150)</x:f>
      </x:c>
      <x:c r="R150" s="326" t="str">
        <x:f>IF(OR($A150="",J150=""),"",J150*M150*N150*O150)</x:f>
      </x:c>
      <x:c r="S150" s="323"/>
      <x:c r="T150" s="323"/>
      <x:c r="U150" s="323"/>
      <x:c r="V150" s="323"/>
      <x:c r="W150" s="327" t="str">
        <x:f>IF(A150="","",IF(OR(B150="",G150="",Q150="",S150="",T150="",U150=""),"INCOMPLETO",IF(OR(M150&lt;=0,N150&lt;=0,O150&lt;=0),"REVISAR FACTORES",IF(S150="X","EXCLUIDO",IF(OR(T150="Baja",S150="D"),"EXPLORATORIO","LISTO")))))</x:f>
      </x:c>
      <x:c r="X150" s="257"/>
      <x:c r="Y150" s="257"/>
      <x:c r="Z150" s="257"/>
      <x:c r="AA150" s="257"/>
      <x:c r="AB150" s="257"/>
      <x:c r="AC150" s="257"/>
      <x:c r="AD150" s="257"/>
      <x:c r="AE150" s="257"/>
      <x:c r="AF150" s="257"/>
      <x:c r="AG150" s="257"/>
      <x:c r="AH150" s="257"/>
      <x:c r="AI150" s="257"/>
    </x:row>
    <x:row r="151" ht="22" customHeight="1">
      <x:c r="A151" s="323"/>
      <x:c r="B151" s="323"/>
      <x:c r="C151" s="323"/>
      <x:c r="D151" s="323"/>
      <x:c r="E151" s="324"/>
      <x:c r="F151" s="323"/>
      <x:c r="G151" s="323"/>
      <x:c r="H151" s="325"/>
      <x:c r="I151" s="325"/>
      <x:c r="J151" s="325"/>
      <x:c r="K151" s="325"/>
      <x:c r="L151" s="325"/>
      <x:c r="M151" s="325"/>
      <x:c r="N151" s="325"/>
      <x:c r="O151" s="325"/>
      <x:c r="P151" s="326" t="str">
        <x:f>IF(OR($A151="",H151=""),"",H151*M151*N151*O151)</x:f>
      </x:c>
      <x:c r="Q151" s="326" t="str">
        <x:f>IF(OR($A151="",I151=""),"",I151*M151*N151*O151)</x:f>
      </x:c>
      <x:c r="R151" s="326" t="str">
        <x:f>IF(OR($A151="",J151=""),"",J151*M151*N151*O151)</x:f>
      </x:c>
      <x:c r="S151" s="323"/>
      <x:c r="T151" s="323"/>
      <x:c r="U151" s="323"/>
      <x:c r="V151" s="323"/>
      <x:c r="W151" s="327" t="str">
        <x:f>IF(A151="","",IF(OR(B151="",G151="",Q151="",S151="",T151="",U151=""),"INCOMPLETO",IF(OR(M151&lt;=0,N151&lt;=0,O151&lt;=0),"REVISAR FACTORES",IF(S151="X","EXCLUIDO",IF(OR(T151="Baja",S151="D"),"EXPLORATORIO","LISTO")))))</x:f>
      </x:c>
      <x:c r="X151" s="257"/>
      <x:c r="Y151" s="257"/>
      <x:c r="Z151" s="257"/>
      <x:c r="AA151" s="257"/>
      <x:c r="AB151" s="257"/>
      <x:c r="AC151" s="257"/>
      <x:c r="AD151" s="257"/>
      <x:c r="AE151" s="257"/>
      <x:c r="AF151" s="257"/>
      <x:c r="AG151" s="257"/>
      <x:c r="AH151" s="257"/>
      <x:c r="AI151" s="257"/>
    </x:row>
    <x:row r="152" ht="22" customHeight="1">
      <x:c r="A152" s="323"/>
      <x:c r="B152" s="323"/>
      <x:c r="C152" s="323"/>
      <x:c r="D152" s="323"/>
      <x:c r="E152" s="324"/>
      <x:c r="F152" s="323"/>
      <x:c r="G152" s="323"/>
      <x:c r="H152" s="325"/>
      <x:c r="I152" s="325"/>
      <x:c r="J152" s="325"/>
      <x:c r="K152" s="325"/>
      <x:c r="L152" s="325"/>
      <x:c r="M152" s="325"/>
      <x:c r="N152" s="325"/>
      <x:c r="O152" s="325"/>
      <x:c r="P152" s="326" t="str">
        <x:f>IF(OR($A152="",H152=""),"",H152*M152*N152*O152)</x:f>
      </x:c>
      <x:c r="Q152" s="326" t="str">
        <x:f>IF(OR($A152="",I152=""),"",I152*M152*N152*O152)</x:f>
      </x:c>
      <x:c r="R152" s="326" t="str">
        <x:f>IF(OR($A152="",J152=""),"",J152*M152*N152*O152)</x:f>
      </x:c>
      <x:c r="S152" s="323"/>
      <x:c r="T152" s="323"/>
      <x:c r="U152" s="323"/>
      <x:c r="V152" s="323"/>
      <x:c r="W152" s="327" t="str">
        <x:f>IF(A152="","",IF(OR(B152="",G152="",Q152="",S152="",T152="",U152=""),"INCOMPLETO",IF(OR(M152&lt;=0,N152&lt;=0,O152&lt;=0),"REVISAR FACTORES",IF(S152="X","EXCLUIDO",IF(OR(T152="Baja",S152="D"),"EXPLORATORIO","LISTO")))))</x:f>
      </x:c>
      <x:c r="X152" s="257"/>
      <x:c r="Y152" s="257"/>
      <x:c r="Z152" s="257"/>
      <x:c r="AA152" s="257"/>
      <x:c r="AB152" s="257"/>
      <x:c r="AC152" s="257"/>
      <x:c r="AD152" s="257"/>
      <x:c r="AE152" s="257"/>
      <x:c r="AF152" s="257"/>
      <x:c r="AG152" s="257"/>
      <x:c r="AH152" s="257"/>
      <x:c r="AI152" s="257"/>
    </x:row>
    <x:row r="153" ht="22" customHeight="1">
      <x:c r="A153" s="323"/>
      <x:c r="B153" s="323"/>
      <x:c r="C153" s="323"/>
      <x:c r="D153" s="323"/>
      <x:c r="E153" s="324"/>
      <x:c r="F153" s="323"/>
      <x:c r="G153" s="323"/>
      <x:c r="H153" s="325"/>
      <x:c r="I153" s="325"/>
      <x:c r="J153" s="325"/>
      <x:c r="K153" s="325"/>
      <x:c r="L153" s="325"/>
      <x:c r="M153" s="325"/>
      <x:c r="N153" s="325"/>
      <x:c r="O153" s="325"/>
      <x:c r="P153" s="326" t="str">
        <x:f>IF(OR($A153="",H153=""),"",H153*M153*N153*O153)</x:f>
      </x:c>
      <x:c r="Q153" s="326" t="str">
        <x:f>IF(OR($A153="",I153=""),"",I153*M153*N153*O153)</x:f>
      </x:c>
      <x:c r="R153" s="326" t="str">
        <x:f>IF(OR($A153="",J153=""),"",J153*M153*N153*O153)</x:f>
      </x:c>
      <x:c r="S153" s="323"/>
      <x:c r="T153" s="323"/>
      <x:c r="U153" s="323"/>
      <x:c r="V153" s="323"/>
      <x:c r="W153" s="327" t="str">
        <x:f>IF(A153="","",IF(OR(B153="",G153="",Q153="",S153="",T153="",U153=""),"INCOMPLETO",IF(OR(M153&lt;=0,N153&lt;=0,O153&lt;=0),"REVISAR FACTORES",IF(S153="X","EXCLUIDO",IF(OR(T153="Baja",S153="D"),"EXPLORATORIO","LISTO")))))</x:f>
      </x:c>
      <x:c r="X153" s="257"/>
      <x:c r="Y153" s="257"/>
      <x:c r="Z153" s="257"/>
      <x:c r="AA153" s="257"/>
      <x:c r="AB153" s="257"/>
      <x:c r="AC153" s="257"/>
      <x:c r="AD153" s="257"/>
      <x:c r="AE153" s="257"/>
      <x:c r="AF153" s="257"/>
      <x:c r="AG153" s="257"/>
      <x:c r="AH153" s="257"/>
      <x:c r="AI153" s="257"/>
    </x:row>
    <x:row r="154" ht="22" customHeight="1">
      <x:c r="A154" s="323"/>
      <x:c r="B154" s="323"/>
      <x:c r="C154" s="323"/>
      <x:c r="D154" s="323"/>
      <x:c r="E154" s="324"/>
      <x:c r="F154" s="323"/>
      <x:c r="G154" s="323"/>
      <x:c r="H154" s="325"/>
      <x:c r="I154" s="325"/>
      <x:c r="J154" s="325"/>
      <x:c r="K154" s="325"/>
      <x:c r="L154" s="325"/>
      <x:c r="M154" s="325"/>
      <x:c r="N154" s="325"/>
      <x:c r="O154" s="325"/>
      <x:c r="P154" s="326" t="str">
        <x:f>IF(OR($A154="",H154=""),"",H154*M154*N154*O154)</x:f>
      </x:c>
      <x:c r="Q154" s="326" t="str">
        <x:f>IF(OR($A154="",I154=""),"",I154*M154*N154*O154)</x:f>
      </x:c>
      <x:c r="R154" s="326" t="str">
        <x:f>IF(OR($A154="",J154=""),"",J154*M154*N154*O154)</x:f>
      </x:c>
      <x:c r="S154" s="323"/>
      <x:c r="T154" s="323"/>
      <x:c r="U154" s="323"/>
      <x:c r="V154" s="323"/>
      <x:c r="W154" s="327" t="str">
        <x:f>IF(A154="","",IF(OR(B154="",G154="",Q154="",S154="",T154="",U154=""),"INCOMPLETO",IF(OR(M154&lt;=0,N154&lt;=0,O154&lt;=0),"REVISAR FACTORES",IF(S154="X","EXCLUIDO",IF(OR(T154="Baja",S154="D"),"EXPLORATORIO","LISTO")))))</x:f>
      </x:c>
      <x:c r="X154" s="257"/>
      <x:c r="Y154" s="257"/>
      <x:c r="Z154" s="257"/>
      <x:c r="AA154" s="257"/>
      <x:c r="AB154" s="257"/>
      <x:c r="AC154" s="257"/>
      <x:c r="AD154" s="257"/>
      <x:c r="AE154" s="257"/>
      <x:c r="AF154" s="257"/>
      <x:c r="AG154" s="257"/>
      <x:c r="AH154" s="257"/>
      <x:c r="AI154" s="257"/>
    </x:row>
    <x:row r="155" ht="22" customHeight="1">
      <x:c r="A155" s="323"/>
      <x:c r="B155" s="323"/>
      <x:c r="C155" s="323"/>
      <x:c r="D155" s="323"/>
      <x:c r="E155" s="324"/>
      <x:c r="F155" s="323"/>
      <x:c r="G155" s="323"/>
      <x:c r="H155" s="325"/>
      <x:c r="I155" s="325"/>
      <x:c r="J155" s="325"/>
      <x:c r="K155" s="325"/>
      <x:c r="L155" s="325"/>
      <x:c r="M155" s="325"/>
      <x:c r="N155" s="325"/>
      <x:c r="O155" s="325"/>
      <x:c r="P155" s="326" t="str">
        <x:f>IF(OR($A155="",H155=""),"",H155*M155*N155*O155)</x:f>
      </x:c>
      <x:c r="Q155" s="326" t="str">
        <x:f>IF(OR($A155="",I155=""),"",I155*M155*N155*O155)</x:f>
      </x:c>
      <x:c r="R155" s="326" t="str">
        <x:f>IF(OR($A155="",J155=""),"",J155*M155*N155*O155)</x:f>
      </x:c>
      <x:c r="S155" s="323"/>
      <x:c r="T155" s="323"/>
      <x:c r="U155" s="323"/>
      <x:c r="V155" s="323"/>
      <x:c r="W155" s="327" t="str">
        <x:f>IF(A155="","",IF(OR(B155="",G155="",Q155="",S155="",T155="",U155=""),"INCOMPLETO",IF(OR(M155&lt;=0,N155&lt;=0,O155&lt;=0),"REVISAR FACTORES",IF(S155="X","EXCLUIDO",IF(OR(T155="Baja",S155="D"),"EXPLORATORIO","LISTO")))))</x:f>
      </x:c>
      <x:c r="X155" s="257"/>
      <x:c r="Y155" s="257"/>
      <x:c r="Z155" s="257"/>
      <x:c r="AA155" s="257"/>
      <x:c r="AB155" s="257"/>
      <x:c r="AC155" s="257"/>
      <x:c r="AD155" s="257"/>
      <x:c r="AE155" s="257"/>
      <x:c r="AF155" s="257"/>
      <x:c r="AG155" s="257"/>
      <x:c r="AH155" s="257"/>
      <x:c r="AI155" s="257"/>
    </x:row>
    <x:row r="156" ht="22" customHeight="1">
      <x:c r="A156" s="323"/>
      <x:c r="B156" s="323"/>
      <x:c r="C156" s="323"/>
      <x:c r="D156" s="323"/>
      <x:c r="E156" s="324"/>
      <x:c r="F156" s="323"/>
      <x:c r="G156" s="323"/>
      <x:c r="H156" s="325"/>
      <x:c r="I156" s="325"/>
      <x:c r="J156" s="325"/>
      <x:c r="K156" s="325"/>
      <x:c r="L156" s="325"/>
      <x:c r="M156" s="325"/>
      <x:c r="N156" s="325"/>
      <x:c r="O156" s="325"/>
      <x:c r="P156" s="326" t="str">
        <x:f>IF(OR($A156="",H156=""),"",H156*M156*N156*O156)</x:f>
      </x:c>
      <x:c r="Q156" s="326" t="str">
        <x:f>IF(OR($A156="",I156=""),"",I156*M156*N156*O156)</x:f>
      </x:c>
      <x:c r="R156" s="326" t="str">
        <x:f>IF(OR($A156="",J156=""),"",J156*M156*N156*O156)</x:f>
      </x:c>
      <x:c r="S156" s="323"/>
      <x:c r="T156" s="323"/>
      <x:c r="U156" s="323"/>
      <x:c r="V156" s="323"/>
      <x:c r="W156" s="327" t="str">
        <x:f>IF(A156="","",IF(OR(B156="",G156="",Q156="",S156="",T156="",U156=""),"INCOMPLETO",IF(OR(M156&lt;=0,N156&lt;=0,O156&lt;=0),"REVISAR FACTORES",IF(S156="X","EXCLUIDO",IF(OR(T156="Baja",S156="D"),"EXPLORATORIO","LISTO")))))</x:f>
      </x:c>
      <x:c r="X156" s="257"/>
      <x:c r="Y156" s="257"/>
      <x:c r="Z156" s="257"/>
      <x:c r="AA156" s="257"/>
      <x:c r="AB156" s="257"/>
      <x:c r="AC156" s="257"/>
      <x:c r="AD156" s="257"/>
      <x:c r="AE156" s="257"/>
      <x:c r="AF156" s="257"/>
      <x:c r="AG156" s="257"/>
      <x:c r="AH156" s="257"/>
      <x:c r="AI156" s="257"/>
    </x:row>
    <x:row r="157" ht="22" customHeight="1">
      <x:c r="A157" s="323"/>
      <x:c r="B157" s="323"/>
      <x:c r="C157" s="323"/>
      <x:c r="D157" s="323"/>
      <x:c r="E157" s="324"/>
      <x:c r="F157" s="323"/>
      <x:c r="G157" s="323"/>
      <x:c r="H157" s="325"/>
      <x:c r="I157" s="325"/>
      <x:c r="J157" s="325"/>
      <x:c r="K157" s="325"/>
      <x:c r="L157" s="325"/>
      <x:c r="M157" s="325"/>
      <x:c r="N157" s="325"/>
      <x:c r="O157" s="325"/>
      <x:c r="P157" s="326" t="str">
        <x:f>IF(OR($A157="",H157=""),"",H157*M157*N157*O157)</x:f>
      </x:c>
      <x:c r="Q157" s="326" t="str">
        <x:f>IF(OR($A157="",I157=""),"",I157*M157*N157*O157)</x:f>
      </x:c>
      <x:c r="R157" s="326" t="str">
        <x:f>IF(OR($A157="",J157=""),"",J157*M157*N157*O157)</x:f>
      </x:c>
      <x:c r="S157" s="323"/>
      <x:c r="T157" s="323"/>
      <x:c r="U157" s="323"/>
      <x:c r="V157" s="323"/>
      <x:c r="W157" s="327" t="str">
        <x:f>IF(A157="","",IF(OR(B157="",G157="",Q157="",S157="",T157="",U157=""),"INCOMPLETO",IF(OR(M157&lt;=0,N157&lt;=0,O157&lt;=0),"REVISAR FACTORES",IF(S157="X","EXCLUIDO",IF(OR(T157="Baja",S157="D"),"EXPLORATORIO","LISTO")))))</x:f>
      </x:c>
      <x:c r="X157" s="257"/>
      <x:c r="Y157" s="257"/>
      <x:c r="Z157" s="257"/>
      <x:c r="AA157" s="257"/>
      <x:c r="AB157" s="257"/>
      <x:c r="AC157" s="257"/>
      <x:c r="AD157" s="257"/>
      <x:c r="AE157" s="257"/>
      <x:c r="AF157" s="257"/>
      <x:c r="AG157" s="257"/>
      <x:c r="AH157" s="257"/>
      <x:c r="AI157" s="257"/>
    </x:row>
    <x:row r="158" ht="22" customHeight="1">
      <x:c r="A158" s="323"/>
      <x:c r="B158" s="323"/>
      <x:c r="C158" s="323"/>
      <x:c r="D158" s="323"/>
      <x:c r="E158" s="324"/>
      <x:c r="F158" s="323"/>
      <x:c r="G158" s="323"/>
      <x:c r="H158" s="325"/>
      <x:c r="I158" s="325"/>
      <x:c r="J158" s="325"/>
      <x:c r="K158" s="325"/>
      <x:c r="L158" s="325"/>
      <x:c r="M158" s="325"/>
      <x:c r="N158" s="325"/>
      <x:c r="O158" s="325"/>
      <x:c r="P158" s="326" t="str">
        <x:f>IF(OR($A158="",H158=""),"",H158*M158*N158*O158)</x:f>
      </x:c>
      <x:c r="Q158" s="326" t="str">
        <x:f>IF(OR($A158="",I158=""),"",I158*M158*N158*O158)</x:f>
      </x:c>
      <x:c r="R158" s="326" t="str">
        <x:f>IF(OR($A158="",J158=""),"",J158*M158*N158*O158)</x:f>
      </x:c>
      <x:c r="S158" s="323"/>
      <x:c r="T158" s="323"/>
      <x:c r="U158" s="323"/>
      <x:c r="V158" s="323"/>
      <x:c r="W158" s="327" t="str">
        <x:f>IF(A158="","",IF(OR(B158="",G158="",Q158="",S158="",T158="",U158=""),"INCOMPLETO",IF(OR(M158&lt;=0,N158&lt;=0,O158&lt;=0),"REVISAR FACTORES",IF(S158="X","EXCLUIDO",IF(OR(T158="Baja",S158="D"),"EXPLORATORIO","LISTO")))))</x:f>
      </x:c>
      <x:c r="X158" s="257"/>
      <x:c r="Y158" s="257"/>
      <x:c r="Z158" s="257"/>
      <x:c r="AA158" s="257"/>
      <x:c r="AB158" s="257"/>
      <x:c r="AC158" s="257"/>
      <x:c r="AD158" s="257"/>
      <x:c r="AE158" s="257"/>
      <x:c r="AF158" s="257"/>
      <x:c r="AG158" s="257"/>
      <x:c r="AH158" s="257"/>
      <x:c r="AI158" s="257"/>
    </x:row>
    <x:row r="159" ht="22" customHeight="1">
      <x:c r="A159" s="323"/>
      <x:c r="B159" s="323"/>
      <x:c r="C159" s="323"/>
      <x:c r="D159" s="323"/>
      <x:c r="E159" s="324"/>
      <x:c r="F159" s="323"/>
      <x:c r="G159" s="323"/>
      <x:c r="H159" s="325"/>
      <x:c r="I159" s="325"/>
      <x:c r="J159" s="325"/>
      <x:c r="K159" s="325"/>
      <x:c r="L159" s="325"/>
      <x:c r="M159" s="325"/>
      <x:c r="N159" s="325"/>
      <x:c r="O159" s="325"/>
      <x:c r="P159" s="326" t="str">
        <x:f>IF(OR($A159="",H159=""),"",H159*M159*N159*O159)</x:f>
      </x:c>
      <x:c r="Q159" s="326" t="str">
        <x:f>IF(OR($A159="",I159=""),"",I159*M159*N159*O159)</x:f>
      </x:c>
      <x:c r="R159" s="326" t="str">
        <x:f>IF(OR($A159="",J159=""),"",J159*M159*N159*O159)</x:f>
      </x:c>
      <x:c r="S159" s="323"/>
      <x:c r="T159" s="323"/>
      <x:c r="U159" s="323"/>
      <x:c r="V159" s="323"/>
      <x:c r="W159" s="327" t="str">
        <x:f>IF(A159="","",IF(OR(B159="",G159="",Q159="",S159="",T159="",U159=""),"INCOMPLETO",IF(OR(M159&lt;=0,N159&lt;=0,O159&lt;=0),"REVISAR FACTORES",IF(S159="X","EXCLUIDO",IF(OR(T159="Baja",S159="D"),"EXPLORATORIO","LISTO")))))</x:f>
      </x:c>
      <x:c r="X159" s="257"/>
      <x:c r="Y159" s="257"/>
      <x:c r="Z159" s="257"/>
      <x:c r="AA159" s="257"/>
      <x:c r="AB159" s="257"/>
      <x:c r="AC159" s="257"/>
      <x:c r="AD159" s="257"/>
      <x:c r="AE159" s="257"/>
      <x:c r="AF159" s="257"/>
      <x:c r="AG159" s="257"/>
      <x:c r="AH159" s="257"/>
      <x:c r="AI159" s="257"/>
    </x:row>
    <x:row r="160" ht="22" customHeight="1">
      <x:c r="A160" s="323"/>
      <x:c r="B160" s="323"/>
      <x:c r="C160" s="323"/>
      <x:c r="D160" s="323"/>
      <x:c r="E160" s="324"/>
      <x:c r="F160" s="323"/>
      <x:c r="G160" s="323"/>
      <x:c r="H160" s="325"/>
      <x:c r="I160" s="325"/>
      <x:c r="J160" s="325"/>
      <x:c r="K160" s="325"/>
      <x:c r="L160" s="325"/>
      <x:c r="M160" s="325"/>
      <x:c r="N160" s="325"/>
      <x:c r="O160" s="325"/>
      <x:c r="P160" s="326" t="str">
        <x:f>IF(OR($A160="",H160=""),"",H160*M160*N160*O160)</x:f>
      </x:c>
      <x:c r="Q160" s="326" t="str">
        <x:f>IF(OR($A160="",I160=""),"",I160*M160*N160*O160)</x:f>
      </x:c>
      <x:c r="R160" s="326" t="str">
        <x:f>IF(OR($A160="",J160=""),"",J160*M160*N160*O160)</x:f>
      </x:c>
      <x:c r="S160" s="323"/>
      <x:c r="T160" s="323"/>
      <x:c r="U160" s="323"/>
      <x:c r="V160" s="323"/>
      <x:c r="W160" s="327" t="str">
        <x:f>IF(A160="","",IF(OR(B160="",G160="",Q160="",S160="",T160="",U160=""),"INCOMPLETO",IF(OR(M160&lt;=0,N160&lt;=0,O160&lt;=0),"REVISAR FACTORES",IF(S160="X","EXCLUIDO",IF(OR(T160="Baja",S160="D"),"EXPLORATORIO","LISTO")))))</x:f>
      </x:c>
      <x:c r="X160" s="257"/>
      <x:c r="Y160" s="257"/>
      <x:c r="Z160" s="257"/>
      <x:c r="AA160" s="257"/>
      <x:c r="AB160" s="257"/>
      <x:c r="AC160" s="257"/>
      <x:c r="AD160" s="257"/>
      <x:c r="AE160" s="257"/>
      <x:c r="AF160" s="257"/>
      <x:c r="AG160" s="257"/>
      <x:c r="AH160" s="257"/>
      <x:c r="AI160" s="257"/>
    </x:row>
    <x:row r="161" ht="22" customHeight="1">
      <x:c r="A161" s="323"/>
      <x:c r="B161" s="323"/>
      <x:c r="C161" s="323"/>
      <x:c r="D161" s="323"/>
      <x:c r="E161" s="324"/>
      <x:c r="F161" s="323"/>
      <x:c r="G161" s="323"/>
      <x:c r="H161" s="325"/>
      <x:c r="I161" s="325"/>
      <x:c r="J161" s="325"/>
      <x:c r="K161" s="325"/>
      <x:c r="L161" s="325"/>
      <x:c r="M161" s="325"/>
      <x:c r="N161" s="325"/>
      <x:c r="O161" s="325"/>
      <x:c r="P161" s="326" t="str">
        <x:f>IF(OR($A161="",H161=""),"",H161*M161*N161*O161)</x:f>
      </x:c>
      <x:c r="Q161" s="326" t="str">
        <x:f>IF(OR($A161="",I161=""),"",I161*M161*N161*O161)</x:f>
      </x:c>
      <x:c r="R161" s="326" t="str">
        <x:f>IF(OR($A161="",J161=""),"",J161*M161*N161*O161)</x:f>
      </x:c>
      <x:c r="S161" s="323"/>
      <x:c r="T161" s="323"/>
      <x:c r="U161" s="323"/>
      <x:c r="V161" s="323"/>
      <x:c r="W161" s="327" t="str">
        <x:f>IF(A161="","",IF(OR(B161="",G161="",Q161="",S161="",T161="",U161=""),"INCOMPLETO",IF(OR(M161&lt;=0,N161&lt;=0,O161&lt;=0),"REVISAR FACTORES",IF(S161="X","EXCLUIDO",IF(OR(T161="Baja",S161="D"),"EXPLORATORIO","LISTO")))))</x:f>
      </x:c>
      <x:c r="X161" s="257"/>
      <x:c r="Y161" s="257"/>
      <x:c r="Z161" s="257"/>
      <x:c r="AA161" s="257"/>
      <x:c r="AB161" s="257"/>
      <x:c r="AC161" s="257"/>
      <x:c r="AD161" s="257"/>
      <x:c r="AE161" s="257"/>
      <x:c r="AF161" s="257"/>
      <x:c r="AG161" s="257"/>
      <x:c r="AH161" s="257"/>
      <x:c r="AI161" s="257"/>
    </x:row>
    <x:row r="162" ht="22" customHeight="1">
      <x:c r="A162" s="323"/>
      <x:c r="B162" s="323"/>
      <x:c r="C162" s="323"/>
      <x:c r="D162" s="323"/>
      <x:c r="E162" s="324"/>
      <x:c r="F162" s="323"/>
      <x:c r="G162" s="323"/>
      <x:c r="H162" s="325"/>
      <x:c r="I162" s="325"/>
      <x:c r="J162" s="325"/>
      <x:c r="K162" s="325"/>
      <x:c r="L162" s="325"/>
      <x:c r="M162" s="325"/>
      <x:c r="N162" s="325"/>
      <x:c r="O162" s="325"/>
      <x:c r="P162" s="326" t="str">
        <x:f>IF(OR($A162="",H162=""),"",H162*M162*N162*O162)</x:f>
      </x:c>
      <x:c r="Q162" s="326" t="str">
        <x:f>IF(OR($A162="",I162=""),"",I162*M162*N162*O162)</x:f>
      </x:c>
      <x:c r="R162" s="326" t="str">
        <x:f>IF(OR($A162="",J162=""),"",J162*M162*N162*O162)</x:f>
      </x:c>
      <x:c r="S162" s="323"/>
      <x:c r="T162" s="323"/>
      <x:c r="U162" s="323"/>
      <x:c r="V162" s="323"/>
      <x:c r="W162" s="327" t="str">
        <x:f>IF(A162="","",IF(OR(B162="",G162="",Q162="",S162="",T162="",U162=""),"INCOMPLETO",IF(OR(M162&lt;=0,N162&lt;=0,O162&lt;=0),"REVISAR FACTORES",IF(S162="X","EXCLUIDO",IF(OR(T162="Baja",S162="D"),"EXPLORATORIO","LISTO")))))</x:f>
      </x:c>
      <x:c r="X162" s="257"/>
      <x:c r="Y162" s="257"/>
      <x:c r="Z162" s="257"/>
      <x:c r="AA162" s="257"/>
      <x:c r="AB162" s="257"/>
      <x:c r="AC162" s="257"/>
      <x:c r="AD162" s="257"/>
      <x:c r="AE162" s="257"/>
      <x:c r="AF162" s="257"/>
      <x:c r="AG162" s="257"/>
      <x:c r="AH162" s="257"/>
      <x:c r="AI162" s="257"/>
    </x:row>
    <x:row r="163" ht="22" customHeight="1">
      <x:c r="A163" s="323"/>
      <x:c r="B163" s="323"/>
      <x:c r="C163" s="323"/>
      <x:c r="D163" s="323"/>
      <x:c r="E163" s="324"/>
      <x:c r="F163" s="323"/>
      <x:c r="G163" s="323"/>
      <x:c r="H163" s="325"/>
      <x:c r="I163" s="325"/>
      <x:c r="J163" s="325"/>
      <x:c r="K163" s="325"/>
      <x:c r="L163" s="325"/>
      <x:c r="M163" s="325"/>
      <x:c r="N163" s="325"/>
      <x:c r="O163" s="325"/>
      <x:c r="P163" s="326" t="str">
        <x:f>IF(OR($A163="",H163=""),"",H163*M163*N163*O163)</x:f>
      </x:c>
      <x:c r="Q163" s="326" t="str">
        <x:f>IF(OR($A163="",I163=""),"",I163*M163*N163*O163)</x:f>
      </x:c>
      <x:c r="R163" s="326" t="str">
        <x:f>IF(OR($A163="",J163=""),"",J163*M163*N163*O163)</x:f>
      </x:c>
      <x:c r="S163" s="323"/>
      <x:c r="T163" s="323"/>
      <x:c r="U163" s="323"/>
      <x:c r="V163" s="323"/>
      <x:c r="W163" s="327" t="str">
        <x:f>IF(A163="","",IF(OR(B163="",G163="",Q163="",S163="",T163="",U163=""),"INCOMPLETO",IF(OR(M163&lt;=0,N163&lt;=0,O163&lt;=0),"REVISAR FACTORES",IF(S163="X","EXCLUIDO",IF(OR(T163="Baja",S163="D"),"EXPLORATORIO","LISTO")))))</x:f>
      </x:c>
      <x:c r="X163" s="257"/>
      <x:c r="Y163" s="257"/>
      <x:c r="Z163" s="257"/>
      <x:c r="AA163" s="257"/>
      <x:c r="AB163" s="257"/>
      <x:c r="AC163" s="257"/>
      <x:c r="AD163" s="257"/>
      <x:c r="AE163" s="257"/>
      <x:c r="AF163" s="257"/>
      <x:c r="AG163" s="257"/>
      <x:c r="AH163" s="257"/>
      <x:c r="AI163" s="257"/>
    </x:row>
    <x:row r="164" ht="22" customHeight="1">
      <x:c r="A164" s="323"/>
      <x:c r="B164" s="323"/>
      <x:c r="C164" s="323"/>
      <x:c r="D164" s="323"/>
      <x:c r="E164" s="324"/>
      <x:c r="F164" s="323"/>
      <x:c r="G164" s="323"/>
      <x:c r="H164" s="325"/>
      <x:c r="I164" s="325"/>
      <x:c r="J164" s="325"/>
      <x:c r="K164" s="325"/>
      <x:c r="L164" s="325"/>
      <x:c r="M164" s="325"/>
      <x:c r="N164" s="325"/>
      <x:c r="O164" s="325"/>
      <x:c r="P164" s="326" t="str">
        <x:f>IF(OR($A164="",H164=""),"",H164*M164*N164*O164)</x:f>
      </x:c>
      <x:c r="Q164" s="326" t="str">
        <x:f>IF(OR($A164="",I164=""),"",I164*M164*N164*O164)</x:f>
      </x:c>
      <x:c r="R164" s="326" t="str">
        <x:f>IF(OR($A164="",J164=""),"",J164*M164*N164*O164)</x:f>
      </x:c>
      <x:c r="S164" s="323"/>
      <x:c r="T164" s="323"/>
      <x:c r="U164" s="323"/>
      <x:c r="V164" s="323"/>
      <x:c r="W164" s="327" t="str">
        <x:f>IF(A164="","",IF(OR(B164="",G164="",Q164="",S164="",T164="",U164=""),"INCOMPLETO",IF(OR(M164&lt;=0,N164&lt;=0,O164&lt;=0),"REVISAR FACTORES",IF(S164="X","EXCLUIDO",IF(OR(T164="Baja",S164="D"),"EXPLORATORIO","LISTO")))))</x:f>
      </x:c>
      <x:c r="X164" s="257"/>
      <x:c r="Y164" s="257"/>
      <x:c r="Z164" s="257"/>
      <x:c r="AA164" s="257"/>
      <x:c r="AB164" s="257"/>
      <x:c r="AC164" s="257"/>
      <x:c r="AD164" s="257"/>
      <x:c r="AE164" s="257"/>
      <x:c r="AF164" s="257"/>
      <x:c r="AG164" s="257"/>
      <x:c r="AH164" s="257"/>
      <x:c r="AI164" s="257"/>
    </x:row>
    <x:row r="165" ht="22" customHeight="1">
      <x:c r="A165" s="323"/>
      <x:c r="B165" s="323"/>
      <x:c r="C165" s="323"/>
      <x:c r="D165" s="323"/>
      <x:c r="E165" s="324"/>
      <x:c r="F165" s="323"/>
      <x:c r="G165" s="323"/>
      <x:c r="H165" s="325"/>
      <x:c r="I165" s="325"/>
      <x:c r="J165" s="325"/>
      <x:c r="K165" s="325"/>
      <x:c r="L165" s="325"/>
      <x:c r="M165" s="325"/>
      <x:c r="N165" s="325"/>
      <x:c r="O165" s="325"/>
      <x:c r="P165" s="326" t="str">
        <x:f>IF(OR($A165="",H165=""),"",H165*M165*N165*O165)</x:f>
      </x:c>
      <x:c r="Q165" s="326" t="str">
        <x:f>IF(OR($A165="",I165=""),"",I165*M165*N165*O165)</x:f>
      </x:c>
      <x:c r="R165" s="326" t="str">
        <x:f>IF(OR($A165="",J165=""),"",J165*M165*N165*O165)</x:f>
      </x:c>
      <x:c r="S165" s="323"/>
      <x:c r="T165" s="323"/>
      <x:c r="U165" s="323"/>
      <x:c r="V165" s="323"/>
      <x:c r="W165" s="327" t="str">
        <x:f>IF(A165="","",IF(OR(B165="",G165="",Q165="",S165="",T165="",U165=""),"INCOMPLETO",IF(OR(M165&lt;=0,N165&lt;=0,O165&lt;=0),"REVISAR FACTORES",IF(S165="X","EXCLUIDO",IF(OR(T165="Baja",S165="D"),"EXPLORATORIO","LISTO")))))</x:f>
      </x:c>
      <x:c r="X165" s="257"/>
      <x:c r="Y165" s="257"/>
      <x:c r="Z165" s="257"/>
      <x:c r="AA165" s="257"/>
      <x:c r="AB165" s="257"/>
      <x:c r="AC165" s="257"/>
      <x:c r="AD165" s="257"/>
      <x:c r="AE165" s="257"/>
      <x:c r="AF165" s="257"/>
      <x:c r="AG165" s="257"/>
      <x:c r="AH165" s="257"/>
      <x:c r="AI165" s="257"/>
    </x:row>
    <x:row r="166" ht="22" customHeight="1">
      <x:c r="A166" s="323"/>
      <x:c r="B166" s="323"/>
      <x:c r="C166" s="323"/>
      <x:c r="D166" s="323"/>
      <x:c r="E166" s="324"/>
      <x:c r="F166" s="323"/>
      <x:c r="G166" s="323"/>
      <x:c r="H166" s="325"/>
      <x:c r="I166" s="325"/>
      <x:c r="J166" s="325"/>
      <x:c r="K166" s="325"/>
      <x:c r="L166" s="325"/>
      <x:c r="M166" s="325"/>
      <x:c r="N166" s="325"/>
      <x:c r="O166" s="325"/>
      <x:c r="P166" s="326" t="str">
        <x:f>IF(OR($A166="",H166=""),"",H166*M166*N166*O166)</x:f>
      </x:c>
      <x:c r="Q166" s="326" t="str">
        <x:f>IF(OR($A166="",I166=""),"",I166*M166*N166*O166)</x:f>
      </x:c>
      <x:c r="R166" s="326" t="str">
        <x:f>IF(OR($A166="",J166=""),"",J166*M166*N166*O166)</x:f>
      </x:c>
      <x:c r="S166" s="323"/>
      <x:c r="T166" s="323"/>
      <x:c r="U166" s="323"/>
      <x:c r="V166" s="323"/>
      <x:c r="W166" s="327" t="str">
        <x:f>IF(A166="","",IF(OR(B166="",G166="",Q166="",S166="",T166="",U166=""),"INCOMPLETO",IF(OR(M166&lt;=0,N166&lt;=0,O166&lt;=0),"REVISAR FACTORES",IF(S166="X","EXCLUIDO",IF(OR(T166="Baja",S166="D"),"EXPLORATORIO","LISTO")))))</x:f>
      </x:c>
      <x:c r="X166" s="257"/>
      <x:c r="Y166" s="257"/>
      <x:c r="Z166" s="257"/>
      <x:c r="AA166" s="257"/>
      <x:c r="AB166" s="257"/>
      <x:c r="AC166" s="257"/>
      <x:c r="AD166" s="257"/>
      <x:c r="AE166" s="257"/>
      <x:c r="AF166" s="257"/>
      <x:c r="AG166" s="257"/>
      <x:c r="AH166" s="257"/>
      <x:c r="AI166" s="257"/>
    </x:row>
    <x:row r="167" ht="22" customHeight="1">
      <x:c r="A167" s="323"/>
      <x:c r="B167" s="323"/>
      <x:c r="C167" s="323"/>
      <x:c r="D167" s="323"/>
      <x:c r="E167" s="324"/>
      <x:c r="F167" s="323"/>
      <x:c r="G167" s="323"/>
      <x:c r="H167" s="325"/>
      <x:c r="I167" s="325"/>
      <x:c r="J167" s="325"/>
      <x:c r="K167" s="325"/>
      <x:c r="L167" s="325"/>
      <x:c r="M167" s="325"/>
      <x:c r="N167" s="325"/>
      <x:c r="O167" s="325"/>
      <x:c r="P167" s="326" t="str">
        <x:f>IF(OR($A167="",H167=""),"",H167*M167*N167*O167)</x:f>
      </x:c>
      <x:c r="Q167" s="326" t="str">
        <x:f>IF(OR($A167="",I167=""),"",I167*M167*N167*O167)</x:f>
      </x:c>
      <x:c r="R167" s="326" t="str">
        <x:f>IF(OR($A167="",J167=""),"",J167*M167*N167*O167)</x:f>
      </x:c>
      <x:c r="S167" s="323"/>
      <x:c r="T167" s="323"/>
      <x:c r="U167" s="323"/>
      <x:c r="V167" s="323"/>
      <x:c r="W167" s="327" t="str">
        <x:f>IF(A167="","",IF(OR(B167="",G167="",Q167="",S167="",T167="",U167=""),"INCOMPLETO",IF(OR(M167&lt;=0,N167&lt;=0,O167&lt;=0),"REVISAR FACTORES",IF(S167="X","EXCLUIDO",IF(OR(T167="Baja",S167="D"),"EXPLORATORIO","LISTO")))))</x:f>
      </x:c>
      <x:c r="X167" s="257"/>
      <x:c r="Y167" s="257"/>
      <x:c r="Z167" s="257"/>
      <x:c r="AA167" s="257"/>
      <x:c r="AB167" s="257"/>
      <x:c r="AC167" s="257"/>
      <x:c r="AD167" s="257"/>
      <x:c r="AE167" s="257"/>
      <x:c r="AF167" s="257"/>
      <x:c r="AG167" s="257"/>
      <x:c r="AH167" s="257"/>
      <x:c r="AI167" s="257"/>
    </x:row>
    <x:row r="168" ht="22" customHeight="1">
      <x:c r="A168" s="323"/>
      <x:c r="B168" s="323"/>
      <x:c r="C168" s="323"/>
      <x:c r="D168" s="323"/>
      <x:c r="E168" s="324"/>
      <x:c r="F168" s="323"/>
      <x:c r="G168" s="323"/>
      <x:c r="H168" s="325"/>
      <x:c r="I168" s="325"/>
      <x:c r="J168" s="325"/>
      <x:c r="K168" s="325"/>
      <x:c r="L168" s="325"/>
      <x:c r="M168" s="325"/>
      <x:c r="N168" s="325"/>
      <x:c r="O168" s="325"/>
      <x:c r="P168" s="326" t="str">
        <x:f>IF(OR($A168="",H168=""),"",H168*M168*N168*O168)</x:f>
      </x:c>
      <x:c r="Q168" s="326" t="str">
        <x:f>IF(OR($A168="",I168=""),"",I168*M168*N168*O168)</x:f>
      </x:c>
      <x:c r="R168" s="326" t="str">
        <x:f>IF(OR($A168="",J168=""),"",J168*M168*N168*O168)</x:f>
      </x:c>
      <x:c r="S168" s="323"/>
      <x:c r="T168" s="323"/>
      <x:c r="U168" s="323"/>
      <x:c r="V168" s="323"/>
      <x:c r="W168" s="327" t="str">
        <x:f>IF(A168="","",IF(OR(B168="",G168="",Q168="",S168="",T168="",U168=""),"INCOMPLETO",IF(OR(M168&lt;=0,N168&lt;=0,O168&lt;=0),"REVISAR FACTORES",IF(S168="X","EXCLUIDO",IF(OR(T168="Baja",S168="D"),"EXPLORATORIO","LISTO")))))</x:f>
      </x:c>
      <x:c r="X168" s="257"/>
      <x:c r="Y168" s="257"/>
      <x:c r="Z168" s="257"/>
      <x:c r="AA168" s="257"/>
      <x:c r="AB168" s="257"/>
      <x:c r="AC168" s="257"/>
      <x:c r="AD168" s="257"/>
      <x:c r="AE168" s="257"/>
      <x:c r="AF168" s="257"/>
      <x:c r="AG168" s="257"/>
      <x:c r="AH168" s="257"/>
      <x:c r="AI168" s="257"/>
    </x:row>
    <x:row r="169" ht="22" customHeight="1">
      <x:c r="A169" s="323"/>
      <x:c r="B169" s="323"/>
      <x:c r="C169" s="323"/>
      <x:c r="D169" s="323"/>
      <x:c r="E169" s="324"/>
      <x:c r="F169" s="323"/>
      <x:c r="G169" s="323"/>
      <x:c r="H169" s="325"/>
      <x:c r="I169" s="325"/>
      <x:c r="J169" s="325"/>
      <x:c r="K169" s="325"/>
      <x:c r="L169" s="325"/>
      <x:c r="M169" s="325"/>
      <x:c r="N169" s="325"/>
      <x:c r="O169" s="325"/>
      <x:c r="P169" s="326" t="str">
        <x:f>IF(OR($A169="",H169=""),"",H169*M169*N169*O169)</x:f>
      </x:c>
      <x:c r="Q169" s="326" t="str">
        <x:f>IF(OR($A169="",I169=""),"",I169*M169*N169*O169)</x:f>
      </x:c>
      <x:c r="R169" s="326" t="str">
        <x:f>IF(OR($A169="",J169=""),"",J169*M169*N169*O169)</x:f>
      </x:c>
      <x:c r="S169" s="323"/>
      <x:c r="T169" s="323"/>
      <x:c r="U169" s="323"/>
      <x:c r="V169" s="323"/>
      <x:c r="W169" s="327" t="str">
        <x:f>IF(A169="","",IF(OR(B169="",G169="",Q169="",S169="",T169="",U169=""),"INCOMPLETO",IF(OR(M169&lt;=0,N169&lt;=0,O169&lt;=0),"REVISAR FACTORES",IF(S169="X","EXCLUIDO",IF(OR(T169="Baja",S169="D"),"EXPLORATORIO","LISTO")))))</x:f>
      </x:c>
      <x:c r="X169" s="257"/>
      <x:c r="Y169" s="257"/>
      <x:c r="Z169" s="257"/>
      <x:c r="AA169" s="257"/>
      <x:c r="AB169" s="257"/>
      <x:c r="AC169" s="257"/>
      <x:c r="AD169" s="257"/>
      <x:c r="AE169" s="257"/>
      <x:c r="AF169" s="257"/>
      <x:c r="AG169" s="257"/>
      <x:c r="AH169" s="257"/>
      <x:c r="AI169" s="257"/>
    </x:row>
    <x:row r="170" ht="22" customHeight="1">
      <x:c r="A170" s="323"/>
      <x:c r="B170" s="323"/>
      <x:c r="C170" s="323"/>
      <x:c r="D170" s="323"/>
      <x:c r="E170" s="324"/>
      <x:c r="F170" s="323"/>
      <x:c r="G170" s="323"/>
      <x:c r="H170" s="325"/>
      <x:c r="I170" s="325"/>
      <x:c r="J170" s="325"/>
      <x:c r="K170" s="325"/>
      <x:c r="L170" s="325"/>
      <x:c r="M170" s="325"/>
      <x:c r="N170" s="325"/>
      <x:c r="O170" s="325"/>
      <x:c r="P170" s="326" t="str">
        <x:f>IF(OR($A170="",H170=""),"",H170*M170*N170*O170)</x:f>
      </x:c>
      <x:c r="Q170" s="326" t="str">
        <x:f>IF(OR($A170="",I170=""),"",I170*M170*N170*O170)</x:f>
      </x:c>
      <x:c r="R170" s="326" t="str">
        <x:f>IF(OR($A170="",J170=""),"",J170*M170*N170*O170)</x:f>
      </x:c>
      <x:c r="S170" s="323"/>
      <x:c r="T170" s="323"/>
      <x:c r="U170" s="323"/>
      <x:c r="V170" s="323"/>
      <x:c r="W170" s="327" t="str">
        <x:f>IF(A170="","",IF(OR(B170="",G170="",Q170="",S170="",T170="",U170=""),"INCOMPLETO",IF(OR(M170&lt;=0,N170&lt;=0,O170&lt;=0),"REVISAR FACTORES",IF(S170="X","EXCLUIDO",IF(OR(T170="Baja",S170="D"),"EXPLORATORIO","LISTO")))))</x:f>
      </x:c>
      <x:c r="X170" s="257"/>
      <x:c r="Y170" s="257"/>
      <x:c r="Z170" s="257"/>
      <x:c r="AA170" s="257"/>
      <x:c r="AB170" s="257"/>
      <x:c r="AC170" s="257"/>
      <x:c r="AD170" s="257"/>
      <x:c r="AE170" s="257"/>
      <x:c r="AF170" s="257"/>
      <x:c r="AG170" s="257"/>
      <x:c r="AH170" s="257"/>
      <x:c r="AI170" s="257"/>
    </x:row>
    <x:row r="171" ht="22" customHeight="1">
      <x:c r="A171" s="323"/>
      <x:c r="B171" s="323"/>
      <x:c r="C171" s="323"/>
      <x:c r="D171" s="323"/>
      <x:c r="E171" s="324"/>
      <x:c r="F171" s="323"/>
      <x:c r="G171" s="323"/>
      <x:c r="H171" s="325"/>
      <x:c r="I171" s="325"/>
      <x:c r="J171" s="325"/>
      <x:c r="K171" s="325"/>
      <x:c r="L171" s="325"/>
      <x:c r="M171" s="325"/>
      <x:c r="N171" s="325"/>
      <x:c r="O171" s="325"/>
      <x:c r="P171" s="326" t="str">
        <x:f>IF(OR($A171="",H171=""),"",H171*M171*N171*O171)</x:f>
      </x:c>
      <x:c r="Q171" s="326" t="str">
        <x:f>IF(OR($A171="",I171=""),"",I171*M171*N171*O171)</x:f>
      </x:c>
      <x:c r="R171" s="326" t="str">
        <x:f>IF(OR($A171="",J171=""),"",J171*M171*N171*O171)</x:f>
      </x:c>
      <x:c r="S171" s="323"/>
      <x:c r="T171" s="323"/>
      <x:c r="U171" s="323"/>
      <x:c r="V171" s="323"/>
      <x:c r="W171" s="327" t="str">
        <x:f>IF(A171="","",IF(OR(B171="",G171="",Q171="",S171="",T171="",U171=""),"INCOMPLETO",IF(OR(M171&lt;=0,N171&lt;=0,O171&lt;=0),"REVISAR FACTORES",IF(S171="X","EXCLUIDO",IF(OR(T171="Baja",S171="D"),"EXPLORATORIO","LISTO")))))</x:f>
      </x:c>
      <x:c r="X171" s="257"/>
      <x:c r="Y171" s="257"/>
      <x:c r="Z171" s="257"/>
      <x:c r="AA171" s="257"/>
      <x:c r="AB171" s="257"/>
      <x:c r="AC171" s="257"/>
      <x:c r="AD171" s="257"/>
      <x:c r="AE171" s="257"/>
      <x:c r="AF171" s="257"/>
      <x:c r="AG171" s="257"/>
      <x:c r="AH171" s="257"/>
      <x:c r="AI171" s="257"/>
    </x:row>
    <x:row r="172" ht="22" customHeight="1">
      <x:c r="A172" s="323"/>
      <x:c r="B172" s="323"/>
      <x:c r="C172" s="323"/>
      <x:c r="D172" s="323"/>
      <x:c r="E172" s="324"/>
      <x:c r="F172" s="323"/>
      <x:c r="G172" s="323"/>
      <x:c r="H172" s="325"/>
      <x:c r="I172" s="325"/>
      <x:c r="J172" s="325"/>
      <x:c r="K172" s="325"/>
      <x:c r="L172" s="325"/>
      <x:c r="M172" s="325"/>
      <x:c r="N172" s="325"/>
      <x:c r="O172" s="325"/>
      <x:c r="P172" s="326" t="str">
        <x:f>IF(OR($A172="",H172=""),"",H172*M172*N172*O172)</x:f>
      </x:c>
      <x:c r="Q172" s="326" t="str">
        <x:f>IF(OR($A172="",I172=""),"",I172*M172*N172*O172)</x:f>
      </x:c>
      <x:c r="R172" s="326" t="str">
        <x:f>IF(OR($A172="",J172=""),"",J172*M172*N172*O172)</x:f>
      </x:c>
      <x:c r="S172" s="323"/>
      <x:c r="T172" s="323"/>
      <x:c r="U172" s="323"/>
      <x:c r="V172" s="323"/>
      <x:c r="W172" s="327" t="str">
        <x:f>IF(A172="","",IF(OR(B172="",G172="",Q172="",S172="",T172="",U172=""),"INCOMPLETO",IF(OR(M172&lt;=0,N172&lt;=0,O172&lt;=0),"REVISAR FACTORES",IF(S172="X","EXCLUIDO",IF(OR(T172="Baja",S172="D"),"EXPLORATORIO","LISTO")))))</x:f>
      </x:c>
      <x:c r="X172" s="257"/>
      <x:c r="Y172" s="257"/>
      <x:c r="Z172" s="257"/>
      <x:c r="AA172" s="257"/>
      <x:c r="AB172" s="257"/>
      <x:c r="AC172" s="257"/>
      <x:c r="AD172" s="257"/>
      <x:c r="AE172" s="257"/>
      <x:c r="AF172" s="257"/>
      <x:c r="AG172" s="257"/>
      <x:c r="AH172" s="257"/>
      <x:c r="AI172" s="257"/>
    </x:row>
    <x:row r="173" ht="22" customHeight="1">
      <x:c r="A173" s="323"/>
      <x:c r="B173" s="323"/>
      <x:c r="C173" s="323"/>
      <x:c r="D173" s="323"/>
      <x:c r="E173" s="324"/>
      <x:c r="F173" s="323"/>
      <x:c r="G173" s="323"/>
      <x:c r="H173" s="325"/>
      <x:c r="I173" s="325"/>
      <x:c r="J173" s="325"/>
      <x:c r="K173" s="325"/>
      <x:c r="L173" s="325"/>
      <x:c r="M173" s="325"/>
      <x:c r="N173" s="325"/>
      <x:c r="O173" s="325"/>
      <x:c r="P173" s="326" t="str">
        <x:f>IF(OR($A173="",H173=""),"",H173*M173*N173*O173)</x:f>
      </x:c>
      <x:c r="Q173" s="326" t="str">
        <x:f>IF(OR($A173="",I173=""),"",I173*M173*N173*O173)</x:f>
      </x:c>
      <x:c r="R173" s="326" t="str">
        <x:f>IF(OR($A173="",J173=""),"",J173*M173*N173*O173)</x:f>
      </x:c>
      <x:c r="S173" s="323"/>
      <x:c r="T173" s="323"/>
      <x:c r="U173" s="323"/>
      <x:c r="V173" s="323"/>
      <x:c r="W173" s="327" t="str">
        <x:f>IF(A173="","",IF(OR(B173="",G173="",Q173="",S173="",T173="",U173=""),"INCOMPLETO",IF(OR(M173&lt;=0,N173&lt;=0,O173&lt;=0),"REVISAR FACTORES",IF(S173="X","EXCLUIDO",IF(OR(T173="Baja",S173="D"),"EXPLORATORIO","LISTO")))))</x:f>
      </x:c>
      <x:c r="X173" s="257"/>
      <x:c r="Y173" s="257"/>
      <x:c r="Z173" s="257"/>
      <x:c r="AA173" s="257"/>
      <x:c r="AB173" s="257"/>
      <x:c r="AC173" s="257"/>
      <x:c r="AD173" s="257"/>
      <x:c r="AE173" s="257"/>
      <x:c r="AF173" s="257"/>
      <x:c r="AG173" s="257"/>
      <x:c r="AH173" s="257"/>
      <x:c r="AI173" s="257"/>
    </x:row>
    <x:row r="174" ht="22" customHeight="1">
      <x:c r="A174" s="323"/>
      <x:c r="B174" s="323"/>
      <x:c r="C174" s="323"/>
      <x:c r="D174" s="323"/>
      <x:c r="E174" s="324"/>
      <x:c r="F174" s="323"/>
      <x:c r="G174" s="323"/>
      <x:c r="H174" s="325"/>
      <x:c r="I174" s="325"/>
      <x:c r="J174" s="325"/>
      <x:c r="K174" s="325"/>
      <x:c r="L174" s="325"/>
      <x:c r="M174" s="325"/>
      <x:c r="N174" s="325"/>
      <x:c r="O174" s="325"/>
      <x:c r="P174" s="326" t="str">
        <x:f>IF(OR($A174="",H174=""),"",H174*M174*N174*O174)</x:f>
      </x:c>
      <x:c r="Q174" s="326" t="str">
        <x:f>IF(OR($A174="",I174=""),"",I174*M174*N174*O174)</x:f>
      </x:c>
      <x:c r="R174" s="326" t="str">
        <x:f>IF(OR($A174="",J174=""),"",J174*M174*N174*O174)</x:f>
      </x:c>
      <x:c r="S174" s="323"/>
      <x:c r="T174" s="323"/>
      <x:c r="U174" s="323"/>
      <x:c r="V174" s="323"/>
      <x:c r="W174" s="327" t="str">
        <x:f>IF(A174="","",IF(OR(B174="",G174="",Q174="",S174="",T174="",U174=""),"INCOMPLETO",IF(OR(M174&lt;=0,N174&lt;=0,O174&lt;=0),"REVISAR FACTORES",IF(S174="X","EXCLUIDO",IF(OR(T174="Baja",S174="D"),"EXPLORATORIO","LISTO")))))</x:f>
      </x:c>
      <x:c r="X174" s="257"/>
      <x:c r="Y174" s="257"/>
      <x:c r="Z174" s="257"/>
      <x:c r="AA174" s="257"/>
      <x:c r="AB174" s="257"/>
      <x:c r="AC174" s="257"/>
      <x:c r="AD174" s="257"/>
      <x:c r="AE174" s="257"/>
      <x:c r="AF174" s="257"/>
      <x:c r="AG174" s="257"/>
      <x:c r="AH174" s="257"/>
      <x:c r="AI174" s="257"/>
    </x:row>
    <x:row r="175" ht="22" customHeight="1">
      <x:c r="A175" s="323"/>
      <x:c r="B175" s="323"/>
      <x:c r="C175" s="323"/>
      <x:c r="D175" s="323"/>
      <x:c r="E175" s="324"/>
      <x:c r="F175" s="323"/>
      <x:c r="G175" s="323"/>
      <x:c r="H175" s="325"/>
      <x:c r="I175" s="325"/>
      <x:c r="J175" s="325"/>
      <x:c r="K175" s="325"/>
      <x:c r="L175" s="325"/>
      <x:c r="M175" s="325"/>
      <x:c r="N175" s="325"/>
      <x:c r="O175" s="325"/>
      <x:c r="P175" s="326" t="str">
        <x:f>IF(OR($A175="",H175=""),"",H175*M175*N175*O175)</x:f>
      </x:c>
      <x:c r="Q175" s="326" t="str">
        <x:f>IF(OR($A175="",I175=""),"",I175*M175*N175*O175)</x:f>
      </x:c>
      <x:c r="R175" s="326" t="str">
        <x:f>IF(OR($A175="",J175=""),"",J175*M175*N175*O175)</x:f>
      </x:c>
      <x:c r="S175" s="323"/>
      <x:c r="T175" s="323"/>
      <x:c r="U175" s="323"/>
      <x:c r="V175" s="323"/>
      <x:c r="W175" s="327" t="str">
        <x:f>IF(A175="","",IF(OR(B175="",G175="",Q175="",S175="",T175="",U175=""),"INCOMPLETO",IF(OR(M175&lt;=0,N175&lt;=0,O175&lt;=0),"REVISAR FACTORES",IF(S175="X","EXCLUIDO",IF(OR(T175="Baja",S175="D"),"EXPLORATORIO","LISTO")))))</x:f>
      </x:c>
      <x:c r="X175" s="257"/>
      <x:c r="Y175" s="257"/>
      <x:c r="Z175" s="257"/>
      <x:c r="AA175" s="257"/>
      <x:c r="AB175" s="257"/>
      <x:c r="AC175" s="257"/>
      <x:c r="AD175" s="257"/>
      <x:c r="AE175" s="257"/>
      <x:c r="AF175" s="257"/>
      <x:c r="AG175" s="257"/>
      <x:c r="AH175" s="257"/>
      <x:c r="AI175" s="257"/>
    </x:row>
    <x:row r="176" ht="22" customHeight="1">
      <x:c r="A176" s="323"/>
      <x:c r="B176" s="323"/>
      <x:c r="C176" s="323"/>
      <x:c r="D176" s="323"/>
      <x:c r="E176" s="324"/>
      <x:c r="F176" s="323"/>
      <x:c r="G176" s="323"/>
      <x:c r="H176" s="325"/>
      <x:c r="I176" s="325"/>
      <x:c r="J176" s="325"/>
      <x:c r="K176" s="325"/>
      <x:c r="L176" s="325"/>
      <x:c r="M176" s="325"/>
      <x:c r="N176" s="325"/>
      <x:c r="O176" s="325"/>
      <x:c r="P176" s="326" t="str">
        <x:f>IF(OR($A176="",H176=""),"",H176*M176*N176*O176)</x:f>
      </x:c>
      <x:c r="Q176" s="326" t="str">
        <x:f>IF(OR($A176="",I176=""),"",I176*M176*N176*O176)</x:f>
      </x:c>
      <x:c r="R176" s="326" t="str">
        <x:f>IF(OR($A176="",J176=""),"",J176*M176*N176*O176)</x:f>
      </x:c>
      <x:c r="S176" s="323"/>
      <x:c r="T176" s="323"/>
      <x:c r="U176" s="323"/>
      <x:c r="V176" s="323"/>
      <x:c r="W176" s="327" t="str">
        <x:f>IF(A176="","",IF(OR(B176="",G176="",Q176="",S176="",T176="",U176=""),"INCOMPLETO",IF(OR(M176&lt;=0,N176&lt;=0,O176&lt;=0),"REVISAR FACTORES",IF(S176="X","EXCLUIDO",IF(OR(T176="Baja",S176="D"),"EXPLORATORIO","LISTO")))))</x:f>
      </x:c>
      <x:c r="X176" s="257"/>
      <x:c r="Y176" s="257"/>
      <x:c r="Z176" s="257"/>
      <x:c r="AA176" s="257"/>
      <x:c r="AB176" s="257"/>
      <x:c r="AC176" s="257"/>
      <x:c r="AD176" s="257"/>
      <x:c r="AE176" s="257"/>
      <x:c r="AF176" s="257"/>
      <x:c r="AG176" s="257"/>
      <x:c r="AH176" s="257"/>
      <x:c r="AI176" s="257"/>
    </x:row>
    <x:row r="177" ht="22" customHeight="1">
      <x:c r="A177" s="323"/>
      <x:c r="B177" s="323"/>
      <x:c r="C177" s="323"/>
      <x:c r="D177" s="323"/>
      <x:c r="E177" s="324"/>
      <x:c r="F177" s="323"/>
      <x:c r="G177" s="323"/>
      <x:c r="H177" s="325"/>
      <x:c r="I177" s="325"/>
      <x:c r="J177" s="325"/>
      <x:c r="K177" s="325"/>
      <x:c r="L177" s="325"/>
      <x:c r="M177" s="325"/>
      <x:c r="N177" s="325"/>
      <x:c r="O177" s="325"/>
      <x:c r="P177" s="326" t="str">
        <x:f>IF(OR($A177="",H177=""),"",H177*M177*N177*O177)</x:f>
      </x:c>
      <x:c r="Q177" s="326" t="str">
        <x:f>IF(OR($A177="",I177=""),"",I177*M177*N177*O177)</x:f>
      </x:c>
      <x:c r="R177" s="326" t="str">
        <x:f>IF(OR($A177="",J177=""),"",J177*M177*N177*O177)</x:f>
      </x:c>
      <x:c r="S177" s="323"/>
      <x:c r="T177" s="323"/>
      <x:c r="U177" s="323"/>
      <x:c r="V177" s="323"/>
      <x:c r="W177" s="327" t="str">
        <x:f>IF(A177="","",IF(OR(B177="",G177="",Q177="",S177="",T177="",U177=""),"INCOMPLETO",IF(OR(M177&lt;=0,N177&lt;=0,O177&lt;=0),"REVISAR FACTORES",IF(S177="X","EXCLUIDO",IF(OR(T177="Baja",S177="D"),"EXPLORATORIO","LISTO")))))</x:f>
      </x:c>
      <x:c r="X177" s="257"/>
      <x:c r="Y177" s="257"/>
      <x:c r="Z177" s="257"/>
      <x:c r="AA177" s="257"/>
      <x:c r="AB177" s="257"/>
      <x:c r="AC177" s="257"/>
      <x:c r="AD177" s="257"/>
      <x:c r="AE177" s="257"/>
      <x:c r="AF177" s="257"/>
      <x:c r="AG177" s="257"/>
      <x:c r="AH177" s="257"/>
      <x:c r="AI177" s="257"/>
    </x:row>
    <x:row r="178" ht="22" customHeight="1">
      <x:c r="A178" s="323"/>
      <x:c r="B178" s="323"/>
      <x:c r="C178" s="323"/>
      <x:c r="D178" s="323"/>
      <x:c r="E178" s="324"/>
      <x:c r="F178" s="323"/>
      <x:c r="G178" s="323"/>
      <x:c r="H178" s="325"/>
      <x:c r="I178" s="325"/>
      <x:c r="J178" s="325"/>
      <x:c r="K178" s="325"/>
      <x:c r="L178" s="325"/>
      <x:c r="M178" s="325"/>
      <x:c r="N178" s="325"/>
      <x:c r="O178" s="325"/>
      <x:c r="P178" s="326" t="str">
        <x:f>IF(OR($A178="",H178=""),"",H178*M178*N178*O178)</x:f>
      </x:c>
      <x:c r="Q178" s="326" t="str">
        <x:f>IF(OR($A178="",I178=""),"",I178*M178*N178*O178)</x:f>
      </x:c>
      <x:c r="R178" s="326" t="str">
        <x:f>IF(OR($A178="",J178=""),"",J178*M178*N178*O178)</x:f>
      </x:c>
      <x:c r="S178" s="323"/>
      <x:c r="T178" s="323"/>
      <x:c r="U178" s="323"/>
      <x:c r="V178" s="323"/>
      <x:c r="W178" s="327" t="str">
        <x:f>IF(A178="","",IF(OR(B178="",G178="",Q178="",S178="",T178="",U178=""),"INCOMPLETO",IF(OR(M178&lt;=0,N178&lt;=0,O178&lt;=0),"REVISAR FACTORES",IF(S178="X","EXCLUIDO",IF(OR(T178="Baja",S178="D"),"EXPLORATORIO","LISTO")))))</x:f>
      </x:c>
      <x:c r="X178" s="257"/>
      <x:c r="Y178" s="257"/>
      <x:c r="Z178" s="257"/>
      <x:c r="AA178" s="257"/>
      <x:c r="AB178" s="257"/>
      <x:c r="AC178" s="257"/>
      <x:c r="AD178" s="257"/>
      <x:c r="AE178" s="257"/>
      <x:c r="AF178" s="257"/>
      <x:c r="AG178" s="257"/>
      <x:c r="AH178" s="257"/>
      <x:c r="AI178" s="257"/>
    </x:row>
    <x:row r="179" ht="22" customHeight="1">
      <x:c r="A179" s="323"/>
      <x:c r="B179" s="323"/>
      <x:c r="C179" s="323"/>
      <x:c r="D179" s="323"/>
      <x:c r="E179" s="324"/>
      <x:c r="F179" s="323"/>
      <x:c r="G179" s="323"/>
      <x:c r="H179" s="325"/>
      <x:c r="I179" s="325"/>
      <x:c r="J179" s="325"/>
      <x:c r="K179" s="325"/>
      <x:c r="L179" s="325"/>
      <x:c r="M179" s="325"/>
      <x:c r="N179" s="325"/>
      <x:c r="O179" s="325"/>
      <x:c r="P179" s="326" t="str">
        <x:f>IF(OR($A179="",H179=""),"",H179*M179*N179*O179)</x:f>
      </x:c>
      <x:c r="Q179" s="326" t="str">
        <x:f>IF(OR($A179="",I179=""),"",I179*M179*N179*O179)</x:f>
      </x:c>
      <x:c r="R179" s="326" t="str">
        <x:f>IF(OR($A179="",J179=""),"",J179*M179*N179*O179)</x:f>
      </x:c>
      <x:c r="S179" s="323"/>
      <x:c r="T179" s="323"/>
      <x:c r="U179" s="323"/>
      <x:c r="V179" s="323"/>
      <x:c r="W179" s="327" t="str">
        <x:f>IF(A179="","",IF(OR(B179="",G179="",Q179="",S179="",T179="",U179=""),"INCOMPLETO",IF(OR(M179&lt;=0,N179&lt;=0,O179&lt;=0),"REVISAR FACTORES",IF(S179="X","EXCLUIDO",IF(OR(T179="Baja",S179="D"),"EXPLORATORIO","LISTO")))))</x:f>
      </x:c>
      <x:c r="X179" s="257"/>
      <x:c r="Y179" s="257"/>
      <x:c r="Z179" s="257"/>
      <x:c r="AA179" s="257"/>
      <x:c r="AB179" s="257"/>
      <x:c r="AC179" s="257"/>
      <x:c r="AD179" s="257"/>
      <x:c r="AE179" s="257"/>
      <x:c r="AF179" s="257"/>
      <x:c r="AG179" s="257"/>
      <x:c r="AH179" s="257"/>
      <x:c r="AI179" s="257"/>
    </x:row>
    <x:row r="180" ht="22" customHeight="1">
      <x:c r="A180" s="323"/>
      <x:c r="B180" s="323"/>
      <x:c r="C180" s="323"/>
      <x:c r="D180" s="323"/>
      <x:c r="E180" s="324"/>
      <x:c r="F180" s="323"/>
      <x:c r="G180" s="323"/>
      <x:c r="H180" s="325"/>
      <x:c r="I180" s="325"/>
      <x:c r="J180" s="325"/>
      <x:c r="K180" s="325"/>
      <x:c r="L180" s="325"/>
      <x:c r="M180" s="325"/>
      <x:c r="N180" s="325"/>
      <x:c r="O180" s="325"/>
      <x:c r="P180" s="326" t="str">
        <x:f>IF(OR($A180="",H180=""),"",H180*M180*N180*O180)</x:f>
      </x:c>
      <x:c r="Q180" s="326" t="str">
        <x:f>IF(OR($A180="",I180=""),"",I180*M180*N180*O180)</x:f>
      </x:c>
      <x:c r="R180" s="326" t="str">
        <x:f>IF(OR($A180="",J180=""),"",J180*M180*N180*O180)</x:f>
      </x:c>
      <x:c r="S180" s="323"/>
      <x:c r="T180" s="323"/>
      <x:c r="U180" s="323"/>
      <x:c r="V180" s="323"/>
      <x:c r="W180" s="327" t="str">
        <x:f>IF(A180="","",IF(OR(B180="",G180="",Q180="",S180="",T180="",U180=""),"INCOMPLETO",IF(OR(M180&lt;=0,N180&lt;=0,O180&lt;=0),"REVISAR FACTORES",IF(S180="X","EXCLUIDO",IF(OR(T180="Baja",S180="D"),"EXPLORATORIO","LISTO")))))</x:f>
      </x:c>
      <x:c r="X180" s="257"/>
      <x:c r="Y180" s="257"/>
      <x:c r="Z180" s="257"/>
      <x:c r="AA180" s="257"/>
      <x:c r="AB180" s="257"/>
      <x:c r="AC180" s="257"/>
      <x:c r="AD180" s="257"/>
      <x:c r="AE180" s="257"/>
      <x:c r="AF180" s="257"/>
      <x:c r="AG180" s="257"/>
      <x:c r="AH180" s="257"/>
      <x:c r="AI180" s="257"/>
    </x:row>
    <x:row r="181" ht="22" customHeight="1">
      <x:c r="A181" s="323"/>
      <x:c r="B181" s="323"/>
      <x:c r="C181" s="323"/>
      <x:c r="D181" s="323"/>
      <x:c r="E181" s="324"/>
      <x:c r="F181" s="323"/>
      <x:c r="G181" s="323"/>
      <x:c r="H181" s="325"/>
      <x:c r="I181" s="325"/>
      <x:c r="J181" s="325"/>
      <x:c r="K181" s="325"/>
      <x:c r="L181" s="325"/>
      <x:c r="M181" s="325"/>
      <x:c r="N181" s="325"/>
      <x:c r="O181" s="325"/>
      <x:c r="P181" s="326" t="str">
        <x:f>IF(OR($A181="",H181=""),"",H181*M181*N181*O181)</x:f>
      </x:c>
      <x:c r="Q181" s="326" t="str">
        <x:f>IF(OR($A181="",I181=""),"",I181*M181*N181*O181)</x:f>
      </x:c>
      <x:c r="R181" s="326" t="str">
        <x:f>IF(OR($A181="",J181=""),"",J181*M181*N181*O181)</x:f>
      </x:c>
      <x:c r="S181" s="323"/>
      <x:c r="T181" s="323"/>
      <x:c r="U181" s="323"/>
      <x:c r="V181" s="323"/>
      <x:c r="W181" s="327" t="str">
        <x:f>IF(A181="","",IF(OR(B181="",G181="",Q181="",S181="",T181="",U181=""),"INCOMPLETO",IF(OR(M181&lt;=0,N181&lt;=0,O181&lt;=0),"REVISAR FACTORES",IF(S181="X","EXCLUIDO",IF(OR(T181="Baja",S181="D"),"EXPLORATORIO","LISTO")))))</x:f>
      </x:c>
      <x:c r="X181" s="257"/>
      <x:c r="Y181" s="257"/>
      <x:c r="Z181" s="257"/>
      <x:c r="AA181" s="257"/>
      <x:c r="AB181" s="257"/>
      <x:c r="AC181" s="257"/>
      <x:c r="AD181" s="257"/>
      <x:c r="AE181" s="257"/>
      <x:c r="AF181" s="257"/>
      <x:c r="AG181" s="257"/>
      <x:c r="AH181" s="257"/>
      <x:c r="AI181" s="257"/>
    </x:row>
    <x:row r="182" ht="22" customHeight="1">
      <x:c r="A182" s="323"/>
      <x:c r="B182" s="323"/>
      <x:c r="C182" s="323"/>
      <x:c r="D182" s="323"/>
      <x:c r="E182" s="324"/>
      <x:c r="F182" s="323"/>
      <x:c r="G182" s="323"/>
      <x:c r="H182" s="325"/>
      <x:c r="I182" s="325"/>
      <x:c r="J182" s="325"/>
      <x:c r="K182" s="325"/>
      <x:c r="L182" s="325"/>
      <x:c r="M182" s="325"/>
      <x:c r="N182" s="325"/>
      <x:c r="O182" s="325"/>
      <x:c r="P182" s="326" t="str">
        <x:f>IF(OR($A182="",H182=""),"",H182*M182*N182*O182)</x:f>
      </x:c>
      <x:c r="Q182" s="326" t="str">
        <x:f>IF(OR($A182="",I182=""),"",I182*M182*N182*O182)</x:f>
      </x:c>
      <x:c r="R182" s="326" t="str">
        <x:f>IF(OR($A182="",J182=""),"",J182*M182*N182*O182)</x:f>
      </x:c>
      <x:c r="S182" s="323"/>
      <x:c r="T182" s="323"/>
      <x:c r="U182" s="323"/>
      <x:c r="V182" s="323"/>
      <x:c r="W182" s="327" t="str">
        <x:f>IF(A182="","",IF(OR(B182="",G182="",Q182="",S182="",T182="",U182=""),"INCOMPLETO",IF(OR(M182&lt;=0,N182&lt;=0,O182&lt;=0),"REVISAR FACTORES",IF(S182="X","EXCLUIDO",IF(OR(T182="Baja",S182="D"),"EXPLORATORIO","LISTO")))))</x:f>
      </x:c>
      <x:c r="X182" s="257"/>
      <x:c r="Y182" s="257"/>
      <x:c r="Z182" s="257"/>
      <x:c r="AA182" s="257"/>
      <x:c r="AB182" s="257"/>
      <x:c r="AC182" s="257"/>
      <x:c r="AD182" s="257"/>
      <x:c r="AE182" s="257"/>
      <x:c r="AF182" s="257"/>
      <x:c r="AG182" s="257"/>
      <x:c r="AH182" s="257"/>
      <x:c r="AI182" s="257"/>
    </x:row>
    <x:row r="183" ht="22" customHeight="1">
      <x:c r="A183" s="323"/>
      <x:c r="B183" s="323"/>
      <x:c r="C183" s="323"/>
      <x:c r="D183" s="323"/>
      <x:c r="E183" s="324"/>
      <x:c r="F183" s="323"/>
      <x:c r="G183" s="323"/>
      <x:c r="H183" s="325"/>
      <x:c r="I183" s="325"/>
      <x:c r="J183" s="325"/>
      <x:c r="K183" s="325"/>
      <x:c r="L183" s="325"/>
      <x:c r="M183" s="325"/>
      <x:c r="N183" s="325"/>
      <x:c r="O183" s="325"/>
      <x:c r="P183" s="326" t="str">
        <x:f>IF(OR($A183="",H183=""),"",H183*M183*N183*O183)</x:f>
      </x:c>
      <x:c r="Q183" s="326" t="str">
        <x:f>IF(OR($A183="",I183=""),"",I183*M183*N183*O183)</x:f>
      </x:c>
      <x:c r="R183" s="326" t="str">
        <x:f>IF(OR($A183="",J183=""),"",J183*M183*N183*O183)</x:f>
      </x:c>
      <x:c r="S183" s="323"/>
      <x:c r="T183" s="323"/>
      <x:c r="U183" s="323"/>
      <x:c r="V183" s="323"/>
      <x:c r="W183" s="327" t="str">
        <x:f>IF(A183="","",IF(OR(B183="",G183="",Q183="",S183="",T183="",U183=""),"INCOMPLETO",IF(OR(M183&lt;=0,N183&lt;=0,O183&lt;=0),"REVISAR FACTORES",IF(S183="X","EXCLUIDO",IF(OR(T183="Baja",S183="D"),"EXPLORATORIO","LISTO")))))</x:f>
      </x:c>
      <x:c r="X183" s="257"/>
      <x:c r="Y183" s="257"/>
      <x:c r="Z183" s="257"/>
      <x:c r="AA183" s="257"/>
      <x:c r="AB183" s="257"/>
      <x:c r="AC183" s="257"/>
      <x:c r="AD183" s="257"/>
      <x:c r="AE183" s="257"/>
      <x:c r="AF183" s="257"/>
      <x:c r="AG183" s="257"/>
      <x:c r="AH183" s="257"/>
      <x:c r="AI183" s="257"/>
    </x:row>
    <x:row r="184" ht="22" customHeight="1">
      <x:c r="A184" s="323"/>
      <x:c r="B184" s="323"/>
      <x:c r="C184" s="323"/>
      <x:c r="D184" s="323"/>
      <x:c r="E184" s="324"/>
      <x:c r="F184" s="323"/>
      <x:c r="G184" s="323"/>
      <x:c r="H184" s="325"/>
      <x:c r="I184" s="325"/>
      <x:c r="J184" s="325"/>
      <x:c r="K184" s="325"/>
      <x:c r="L184" s="325"/>
      <x:c r="M184" s="325"/>
      <x:c r="N184" s="325"/>
      <x:c r="O184" s="325"/>
      <x:c r="P184" s="326" t="str">
        <x:f>IF(OR($A184="",H184=""),"",H184*M184*N184*O184)</x:f>
      </x:c>
      <x:c r="Q184" s="326" t="str">
        <x:f>IF(OR($A184="",I184=""),"",I184*M184*N184*O184)</x:f>
      </x:c>
      <x:c r="R184" s="326" t="str">
        <x:f>IF(OR($A184="",J184=""),"",J184*M184*N184*O184)</x:f>
      </x:c>
      <x:c r="S184" s="323"/>
      <x:c r="T184" s="323"/>
      <x:c r="U184" s="323"/>
      <x:c r="V184" s="323"/>
      <x:c r="W184" s="327" t="str">
        <x:f>IF(A184="","",IF(OR(B184="",G184="",Q184="",S184="",T184="",U184=""),"INCOMPLETO",IF(OR(M184&lt;=0,N184&lt;=0,O184&lt;=0),"REVISAR FACTORES",IF(S184="X","EXCLUIDO",IF(OR(T184="Baja",S184="D"),"EXPLORATORIO","LISTO")))))</x:f>
      </x:c>
      <x:c r="X184" s="257"/>
      <x:c r="Y184" s="257"/>
      <x:c r="Z184" s="257"/>
      <x:c r="AA184" s="257"/>
      <x:c r="AB184" s="257"/>
      <x:c r="AC184" s="257"/>
      <x:c r="AD184" s="257"/>
      <x:c r="AE184" s="257"/>
      <x:c r="AF184" s="257"/>
      <x:c r="AG184" s="257"/>
      <x:c r="AH184" s="257"/>
      <x:c r="AI184" s="257"/>
    </x:row>
    <x:row r="185" ht="22" customHeight="1">
      <x:c r="A185" s="323"/>
      <x:c r="B185" s="323"/>
      <x:c r="C185" s="323"/>
      <x:c r="D185" s="323"/>
      <x:c r="E185" s="324"/>
      <x:c r="F185" s="323"/>
      <x:c r="G185" s="323"/>
      <x:c r="H185" s="325"/>
      <x:c r="I185" s="325"/>
      <x:c r="J185" s="325"/>
      <x:c r="K185" s="325"/>
      <x:c r="L185" s="325"/>
      <x:c r="M185" s="325"/>
      <x:c r="N185" s="325"/>
      <x:c r="O185" s="325"/>
      <x:c r="P185" s="326" t="str">
        <x:f>IF(OR($A185="",H185=""),"",H185*M185*N185*O185)</x:f>
      </x:c>
      <x:c r="Q185" s="326" t="str">
        <x:f>IF(OR($A185="",I185=""),"",I185*M185*N185*O185)</x:f>
      </x:c>
      <x:c r="R185" s="326" t="str">
        <x:f>IF(OR($A185="",J185=""),"",J185*M185*N185*O185)</x:f>
      </x:c>
      <x:c r="S185" s="323"/>
      <x:c r="T185" s="323"/>
      <x:c r="U185" s="323"/>
      <x:c r="V185" s="323"/>
      <x:c r="W185" s="327" t="str">
        <x:f>IF(A185="","",IF(OR(B185="",G185="",Q185="",S185="",T185="",U185=""),"INCOMPLETO",IF(OR(M185&lt;=0,N185&lt;=0,O185&lt;=0),"REVISAR FACTORES",IF(S185="X","EXCLUIDO",IF(OR(T185="Baja",S185="D"),"EXPLORATORIO","LISTO")))))</x:f>
      </x:c>
      <x:c r="X185" s="257"/>
      <x:c r="Y185" s="257"/>
      <x:c r="Z185" s="257"/>
      <x:c r="AA185" s="257"/>
      <x:c r="AB185" s="257"/>
      <x:c r="AC185" s="257"/>
      <x:c r="AD185" s="257"/>
      <x:c r="AE185" s="257"/>
      <x:c r="AF185" s="257"/>
      <x:c r="AG185" s="257"/>
      <x:c r="AH185" s="257"/>
      <x:c r="AI185" s="257"/>
    </x:row>
    <x:row r="186" ht="22" customHeight="1">
      <x:c r="A186" s="323"/>
      <x:c r="B186" s="323"/>
      <x:c r="C186" s="323"/>
      <x:c r="D186" s="323"/>
      <x:c r="E186" s="324"/>
      <x:c r="F186" s="323"/>
      <x:c r="G186" s="323"/>
      <x:c r="H186" s="325"/>
      <x:c r="I186" s="325"/>
      <x:c r="J186" s="325"/>
      <x:c r="K186" s="325"/>
      <x:c r="L186" s="325"/>
      <x:c r="M186" s="325"/>
      <x:c r="N186" s="325"/>
      <x:c r="O186" s="325"/>
      <x:c r="P186" s="326" t="str">
        <x:f>IF(OR($A186="",H186=""),"",H186*M186*N186*O186)</x:f>
      </x:c>
      <x:c r="Q186" s="326" t="str">
        <x:f>IF(OR($A186="",I186=""),"",I186*M186*N186*O186)</x:f>
      </x:c>
      <x:c r="R186" s="326" t="str">
        <x:f>IF(OR($A186="",J186=""),"",J186*M186*N186*O186)</x:f>
      </x:c>
      <x:c r="S186" s="323"/>
      <x:c r="T186" s="323"/>
      <x:c r="U186" s="323"/>
      <x:c r="V186" s="323"/>
      <x:c r="W186" s="327" t="str">
        <x:f>IF(A186="","",IF(OR(B186="",G186="",Q186="",S186="",T186="",U186=""),"INCOMPLETO",IF(OR(M186&lt;=0,N186&lt;=0,O186&lt;=0),"REVISAR FACTORES",IF(S186="X","EXCLUIDO",IF(OR(T186="Baja",S186="D"),"EXPLORATORIO","LISTO")))))</x:f>
      </x:c>
      <x:c r="X186" s="257"/>
      <x:c r="Y186" s="257"/>
      <x:c r="Z186" s="257"/>
      <x:c r="AA186" s="257"/>
      <x:c r="AB186" s="257"/>
      <x:c r="AC186" s="257"/>
      <x:c r="AD186" s="257"/>
      <x:c r="AE186" s="257"/>
      <x:c r="AF186" s="257"/>
      <x:c r="AG186" s="257"/>
      <x:c r="AH186" s="257"/>
      <x:c r="AI186" s="257"/>
    </x:row>
    <x:row r="187" ht="22" customHeight="1">
      <x:c r="A187" s="323"/>
      <x:c r="B187" s="323"/>
      <x:c r="C187" s="323"/>
      <x:c r="D187" s="323"/>
      <x:c r="E187" s="324"/>
      <x:c r="F187" s="323"/>
      <x:c r="G187" s="323"/>
      <x:c r="H187" s="325"/>
      <x:c r="I187" s="325"/>
      <x:c r="J187" s="325"/>
      <x:c r="K187" s="325"/>
      <x:c r="L187" s="325"/>
      <x:c r="M187" s="325"/>
      <x:c r="N187" s="325"/>
      <x:c r="O187" s="325"/>
      <x:c r="P187" s="326" t="str">
        <x:f>IF(OR($A187="",H187=""),"",H187*M187*N187*O187)</x:f>
      </x:c>
      <x:c r="Q187" s="326" t="str">
        <x:f>IF(OR($A187="",I187=""),"",I187*M187*N187*O187)</x:f>
      </x:c>
      <x:c r="R187" s="326" t="str">
        <x:f>IF(OR($A187="",J187=""),"",J187*M187*N187*O187)</x:f>
      </x:c>
      <x:c r="S187" s="323"/>
      <x:c r="T187" s="323"/>
      <x:c r="U187" s="323"/>
      <x:c r="V187" s="323"/>
      <x:c r="W187" s="327" t="str">
        <x:f>IF(A187="","",IF(OR(B187="",G187="",Q187="",S187="",T187="",U187=""),"INCOMPLETO",IF(OR(M187&lt;=0,N187&lt;=0,O187&lt;=0),"REVISAR FACTORES",IF(S187="X","EXCLUIDO",IF(OR(T187="Baja",S187="D"),"EXPLORATORIO","LISTO")))))</x:f>
      </x:c>
      <x:c r="X187" s="257"/>
      <x:c r="Y187" s="257"/>
      <x:c r="Z187" s="257"/>
      <x:c r="AA187" s="257"/>
      <x:c r="AB187" s="257"/>
      <x:c r="AC187" s="257"/>
      <x:c r="AD187" s="257"/>
      <x:c r="AE187" s="257"/>
      <x:c r="AF187" s="257"/>
      <x:c r="AG187" s="257"/>
      <x:c r="AH187" s="257"/>
      <x:c r="AI187" s="257"/>
    </x:row>
    <x:row r="188" ht="22" customHeight="1">
      <x:c r="A188" s="323"/>
      <x:c r="B188" s="323"/>
      <x:c r="C188" s="323"/>
      <x:c r="D188" s="323"/>
      <x:c r="E188" s="324"/>
      <x:c r="F188" s="323"/>
      <x:c r="G188" s="323"/>
      <x:c r="H188" s="325"/>
      <x:c r="I188" s="325"/>
      <x:c r="J188" s="325"/>
      <x:c r="K188" s="325"/>
      <x:c r="L188" s="325"/>
      <x:c r="M188" s="325"/>
      <x:c r="N188" s="325"/>
      <x:c r="O188" s="325"/>
      <x:c r="P188" s="326" t="str">
        <x:f>IF(OR($A188="",H188=""),"",H188*M188*N188*O188)</x:f>
      </x:c>
      <x:c r="Q188" s="326" t="str">
        <x:f>IF(OR($A188="",I188=""),"",I188*M188*N188*O188)</x:f>
      </x:c>
      <x:c r="R188" s="326" t="str">
        <x:f>IF(OR($A188="",J188=""),"",J188*M188*N188*O188)</x:f>
      </x:c>
      <x:c r="S188" s="323"/>
      <x:c r="T188" s="323"/>
      <x:c r="U188" s="323"/>
      <x:c r="V188" s="323"/>
      <x:c r="W188" s="327" t="str">
        <x:f>IF(A188="","",IF(OR(B188="",G188="",Q188="",S188="",T188="",U188=""),"INCOMPLETO",IF(OR(M188&lt;=0,N188&lt;=0,O188&lt;=0),"REVISAR FACTORES",IF(S188="X","EXCLUIDO",IF(OR(T188="Baja",S188="D"),"EXPLORATORIO","LISTO")))))</x:f>
      </x:c>
      <x:c r="X188" s="257"/>
      <x:c r="Y188" s="257"/>
      <x:c r="Z188" s="257"/>
      <x:c r="AA188" s="257"/>
      <x:c r="AB188" s="257"/>
      <x:c r="AC188" s="257"/>
      <x:c r="AD188" s="257"/>
      <x:c r="AE188" s="257"/>
      <x:c r="AF188" s="257"/>
      <x:c r="AG188" s="257"/>
      <x:c r="AH188" s="257"/>
      <x:c r="AI188" s="257"/>
    </x:row>
    <x:row r="189" ht="22" customHeight="1">
      <x:c r="A189" s="323"/>
      <x:c r="B189" s="323"/>
      <x:c r="C189" s="323"/>
      <x:c r="D189" s="323"/>
      <x:c r="E189" s="324"/>
      <x:c r="F189" s="323"/>
      <x:c r="G189" s="323"/>
      <x:c r="H189" s="325"/>
      <x:c r="I189" s="325"/>
      <x:c r="J189" s="325"/>
      <x:c r="K189" s="325"/>
      <x:c r="L189" s="325"/>
      <x:c r="M189" s="325"/>
      <x:c r="N189" s="325"/>
      <x:c r="O189" s="325"/>
      <x:c r="P189" s="326" t="str">
        <x:f>IF(OR($A189="",H189=""),"",H189*M189*N189*O189)</x:f>
      </x:c>
      <x:c r="Q189" s="326" t="str">
        <x:f>IF(OR($A189="",I189=""),"",I189*M189*N189*O189)</x:f>
      </x:c>
      <x:c r="R189" s="326" t="str">
        <x:f>IF(OR($A189="",J189=""),"",J189*M189*N189*O189)</x:f>
      </x:c>
      <x:c r="S189" s="323"/>
      <x:c r="T189" s="323"/>
      <x:c r="U189" s="323"/>
      <x:c r="V189" s="323"/>
      <x:c r="W189" s="327" t="str">
        <x:f>IF(A189="","",IF(OR(B189="",G189="",Q189="",S189="",T189="",U189=""),"INCOMPLETO",IF(OR(M189&lt;=0,N189&lt;=0,O189&lt;=0),"REVISAR FACTORES",IF(S189="X","EXCLUIDO",IF(OR(T189="Baja",S189="D"),"EXPLORATORIO","LISTO")))))</x:f>
      </x:c>
      <x:c r="X189" s="257"/>
      <x:c r="Y189" s="257"/>
      <x:c r="Z189" s="257"/>
      <x:c r="AA189" s="257"/>
      <x:c r="AB189" s="257"/>
      <x:c r="AC189" s="257"/>
      <x:c r="AD189" s="257"/>
      <x:c r="AE189" s="257"/>
      <x:c r="AF189" s="257"/>
      <x:c r="AG189" s="257"/>
      <x:c r="AH189" s="257"/>
      <x:c r="AI189" s="257"/>
    </x:row>
    <x:row r="190" ht="22" customHeight="1">
      <x:c r="A190" s="323"/>
      <x:c r="B190" s="323"/>
      <x:c r="C190" s="323"/>
      <x:c r="D190" s="323"/>
      <x:c r="E190" s="324"/>
      <x:c r="F190" s="323"/>
      <x:c r="G190" s="323"/>
      <x:c r="H190" s="325"/>
      <x:c r="I190" s="325"/>
      <x:c r="J190" s="325"/>
      <x:c r="K190" s="325"/>
      <x:c r="L190" s="325"/>
      <x:c r="M190" s="325"/>
      <x:c r="N190" s="325"/>
      <x:c r="O190" s="325"/>
      <x:c r="P190" s="326" t="str">
        <x:f>IF(OR($A190="",H190=""),"",H190*M190*N190*O190)</x:f>
      </x:c>
      <x:c r="Q190" s="326" t="str">
        <x:f>IF(OR($A190="",I190=""),"",I190*M190*N190*O190)</x:f>
      </x:c>
      <x:c r="R190" s="326" t="str">
        <x:f>IF(OR($A190="",J190=""),"",J190*M190*N190*O190)</x:f>
      </x:c>
      <x:c r="S190" s="323"/>
      <x:c r="T190" s="323"/>
      <x:c r="U190" s="323"/>
      <x:c r="V190" s="323"/>
      <x:c r="W190" s="327" t="str">
        <x:f>IF(A190="","",IF(OR(B190="",G190="",Q190="",S190="",T190="",U190=""),"INCOMPLETO",IF(OR(M190&lt;=0,N190&lt;=0,O190&lt;=0),"REVISAR FACTORES",IF(S190="X","EXCLUIDO",IF(OR(T190="Baja",S190="D"),"EXPLORATORIO","LISTO")))))</x:f>
      </x:c>
      <x:c r="X190" s="257"/>
      <x:c r="Y190" s="257"/>
      <x:c r="Z190" s="257"/>
      <x:c r="AA190" s="257"/>
      <x:c r="AB190" s="257"/>
      <x:c r="AC190" s="257"/>
      <x:c r="AD190" s="257"/>
      <x:c r="AE190" s="257"/>
      <x:c r="AF190" s="257"/>
      <x:c r="AG190" s="257"/>
      <x:c r="AH190" s="257"/>
      <x:c r="AI190" s="257"/>
    </x:row>
    <x:row r="191" ht="22" customHeight="1">
      <x:c r="A191" s="323"/>
      <x:c r="B191" s="323"/>
      <x:c r="C191" s="323"/>
      <x:c r="D191" s="323"/>
      <x:c r="E191" s="324"/>
      <x:c r="F191" s="323"/>
      <x:c r="G191" s="323"/>
      <x:c r="H191" s="325"/>
      <x:c r="I191" s="325"/>
      <x:c r="J191" s="325"/>
      <x:c r="K191" s="325"/>
      <x:c r="L191" s="325"/>
      <x:c r="M191" s="325"/>
      <x:c r="N191" s="325"/>
      <x:c r="O191" s="325"/>
      <x:c r="P191" s="326" t="str">
        <x:f>IF(OR($A191="",H191=""),"",H191*M191*N191*O191)</x:f>
      </x:c>
      <x:c r="Q191" s="326" t="str">
        <x:f>IF(OR($A191="",I191=""),"",I191*M191*N191*O191)</x:f>
      </x:c>
      <x:c r="R191" s="326" t="str">
        <x:f>IF(OR($A191="",J191=""),"",J191*M191*N191*O191)</x:f>
      </x:c>
      <x:c r="S191" s="323"/>
      <x:c r="T191" s="323"/>
      <x:c r="U191" s="323"/>
      <x:c r="V191" s="323"/>
      <x:c r="W191" s="327" t="str">
        <x:f>IF(A191="","",IF(OR(B191="",G191="",Q191="",S191="",T191="",U191=""),"INCOMPLETO",IF(OR(M191&lt;=0,N191&lt;=0,O191&lt;=0),"REVISAR FACTORES",IF(S191="X","EXCLUIDO",IF(OR(T191="Baja",S191="D"),"EXPLORATORIO","LISTO")))))</x:f>
      </x:c>
      <x:c r="X191" s="257"/>
      <x:c r="Y191" s="257"/>
      <x:c r="Z191" s="257"/>
      <x:c r="AA191" s="257"/>
      <x:c r="AB191" s="257"/>
      <x:c r="AC191" s="257"/>
      <x:c r="AD191" s="257"/>
      <x:c r="AE191" s="257"/>
      <x:c r="AF191" s="257"/>
      <x:c r="AG191" s="257"/>
      <x:c r="AH191" s="257"/>
      <x:c r="AI191" s="257"/>
    </x:row>
    <x:row r="192" ht="22" customHeight="1">
      <x:c r="A192" s="323"/>
      <x:c r="B192" s="323"/>
      <x:c r="C192" s="323"/>
      <x:c r="D192" s="323"/>
      <x:c r="E192" s="324"/>
      <x:c r="F192" s="323"/>
      <x:c r="G192" s="323"/>
      <x:c r="H192" s="325"/>
      <x:c r="I192" s="325"/>
      <x:c r="J192" s="325"/>
      <x:c r="K192" s="325"/>
      <x:c r="L192" s="325"/>
      <x:c r="M192" s="325"/>
      <x:c r="N192" s="325"/>
      <x:c r="O192" s="325"/>
      <x:c r="P192" s="326" t="str">
        <x:f>IF(OR($A192="",H192=""),"",H192*M192*N192*O192)</x:f>
      </x:c>
      <x:c r="Q192" s="326" t="str">
        <x:f>IF(OR($A192="",I192=""),"",I192*M192*N192*O192)</x:f>
      </x:c>
      <x:c r="R192" s="326" t="str">
        <x:f>IF(OR($A192="",J192=""),"",J192*M192*N192*O192)</x:f>
      </x:c>
      <x:c r="S192" s="323"/>
      <x:c r="T192" s="323"/>
      <x:c r="U192" s="323"/>
      <x:c r="V192" s="323"/>
      <x:c r="W192" s="327" t="str">
        <x:f>IF(A192="","",IF(OR(B192="",G192="",Q192="",S192="",T192="",U192=""),"INCOMPLETO",IF(OR(M192&lt;=0,N192&lt;=0,O192&lt;=0),"REVISAR FACTORES",IF(S192="X","EXCLUIDO",IF(OR(T192="Baja",S192="D"),"EXPLORATORIO","LISTO")))))</x:f>
      </x:c>
      <x:c r="X192" s="257"/>
      <x:c r="Y192" s="257"/>
      <x:c r="Z192" s="257"/>
      <x:c r="AA192" s="257"/>
      <x:c r="AB192" s="257"/>
      <x:c r="AC192" s="257"/>
      <x:c r="AD192" s="257"/>
      <x:c r="AE192" s="257"/>
      <x:c r="AF192" s="257"/>
      <x:c r="AG192" s="257"/>
      <x:c r="AH192" s="257"/>
      <x:c r="AI192" s="257"/>
    </x:row>
    <x:row r="193" ht="22" customHeight="1">
      <x:c r="A193" s="323"/>
      <x:c r="B193" s="323"/>
      <x:c r="C193" s="323"/>
      <x:c r="D193" s="323"/>
      <x:c r="E193" s="324"/>
      <x:c r="F193" s="323"/>
      <x:c r="G193" s="323"/>
      <x:c r="H193" s="325"/>
      <x:c r="I193" s="325"/>
      <x:c r="J193" s="325"/>
      <x:c r="K193" s="325"/>
      <x:c r="L193" s="325"/>
      <x:c r="M193" s="325"/>
      <x:c r="N193" s="325"/>
      <x:c r="O193" s="325"/>
      <x:c r="P193" s="326" t="str">
        <x:f>IF(OR($A193="",H193=""),"",H193*M193*N193*O193)</x:f>
      </x:c>
      <x:c r="Q193" s="326" t="str">
        <x:f>IF(OR($A193="",I193=""),"",I193*M193*N193*O193)</x:f>
      </x:c>
      <x:c r="R193" s="326" t="str">
        <x:f>IF(OR($A193="",J193=""),"",J193*M193*N193*O193)</x:f>
      </x:c>
      <x:c r="S193" s="323"/>
      <x:c r="T193" s="323"/>
      <x:c r="U193" s="323"/>
      <x:c r="V193" s="323"/>
      <x:c r="W193" s="327" t="str">
        <x:f>IF(A193="","",IF(OR(B193="",G193="",Q193="",S193="",T193="",U193=""),"INCOMPLETO",IF(OR(M193&lt;=0,N193&lt;=0,O193&lt;=0),"REVISAR FACTORES",IF(S193="X","EXCLUIDO",IF(OR(T193="Baja",S193="D"),"EXPLORATORIO","LISTO")))))</x:f>
      </x:c>
      <x:c r="X193" s="257"/>
      <x:c r="Y193" s="257"/>
      <x:c r="Z193" s="257"/>
      <x:c r="AA193" s="257"/>
      <x:c r="AB193" s="257"/>
      <x:c r="AC193" s="257"/>
      <x:c r="AD193" s="257"/>
      <x:c r="AE193" s="257"/>
      <x:c r="AF193" s="257"/>
      <x:c r="AG193" s="257"/>
      <x:c r="AH193" s="257"/>
      <x:c r="AI193" s="257"/>
    </x:row>
    <x:row r="194" ht="22" customHeight="1">
      <x:c r="A194" s="323"/>
      <x:c r="B194" s="323"/>
      <x:c r="C194" s="323"/>
      <x:c r="D194" s="323"/>
      <x:c r="E194" s="324"/>
      <x:c r="F194" s="323"/>
      <x:c r="G194" s="323"/>
      <x:c r="H194" s="325"/>
      <x:c r="I194" s="325"/>
      <x:c r="J194" s="325"/>
      <x:c r="K194" s="325"/>
      <x:c r="L194" s="325"/>
      <x:c r="M194" s="325"/>
      <x:c r="N194" s="325"/>
      <x:c r="O194" s="325"/>
      <x:c r="P194" s="326" t="str">
        <x:f>IF(OR($A194="",H194=""),"",H194*M194*N194*O194)</x:f>
      </x:c>
      <x:c r="Q194" s="326" t="str">
        <x:f>IF(OR($A194="",I194=""),"",I194*M194*N194*O194)</x:f>
      </x:c>
      <x:c r="R194" s="326" t="str">
        <x:f>IF(OR($A194="",J194=""),"",J194*M194*N194*O194)</x:f>
      </x:c>
      <x:c r="S194" s="323"/>
      <x:c r="T194" s="323"/>
      <x:c r="U194" s="323"/>
      <x:c r="V194" s="323"/>
      <x:c r="W194" s="327" t="str">
        <x:f>IF(A194="","",IF(OR(B194="",G194="",Q194="",S194="",T194="",U194=""),"INCOMPLETO",IF(OR(M194&lt;=0,N194&lt;=0,O194&lt;=0),"REVISAR FACTORES",IF(S194="X","EXCLUIDO",IF(OR(T194="Baja",S194="D"),"EXPLORATORIO","LISTO")))))</x:f>
      </x:c>
      <x:c r="X194" s="257"/>
      <x:c r="Y194" s="257"/>
      <x:c r="Z194" s="257"/>
      <x:c r="AA194" s="257"/>
      <x:c r="AB194" s="257"/>
      <x:c r="AC194" s="257"/>
      <x:c r="AD194" s="257"/>
      <x:c r="AE194" s="257"/>
      <x:c r="AF194" s="257"/>
      <x:c r="AG194" s="257"/>
      <x:c r="AH194" s="257"/>
      <x:c r="AI194" s="257"/>
    </x:row>
    <x:row r="195" ht="22" customHeight="1">
      <x:c r="A195" s="323"/>
      <x:c r="B195" s="323"/>
      <x:c r="C195" s="323"/>
      <x:c r="D195" s="323"/>
      <x:c r="E195" s="324"/>
      <x:c r="F195" s="323"/>
      <x:c r="G195" s="323"/>
      <x:c r="H195" s="325"/>
      <x:c r="I195" s="325"/>
      <x:c r="J195" s="325"/>
      <x:c r="K195" s="325"/>
      <x:c r="L195" s="325"/>
      <x:c r="M195" s="325"/>
      <x:c r="N195" s="325"/>
      <x:c r="O195" s="325"/>
      <x:c r="P195" s="326" t="str">
        <x:f>IF(OR($A195="",H195=""),"",H195*M195*N195*O195)</x:f>
      </x:c>
      <x:c r="Q195" s="326" t="str">
        <x:f>IF(OR($A195="",I195=""),"",I195*M195*N195*O195)</x:f>
      </x:c>
      <x:c r="R195" s="326" t="str">
        <x:f>IF(OR($A195="",J195=""),"",J195*M195*N195*O195)</x:f>
      </x:c>
      <x:c r="S195" s="323"/>
      <x:c r="T195" s="323"/>
      <x:c r="U195" s="323"/>
      <x:c r="V195" s="323"/>
      <x:c r="W195" s="327" t="str">
        <x:f>IF(A195="","",IF(OR(B195="",G195="",Q195="",S195="",T195="",U195=""),"INCOMPLETO",IF(OR(M195&lt;=0,N195&lt;=0,O195&lt;=0),"REVISAR FACTORES",IF(S195="X","EXCLUIDO",IF(OR(T195="Baja",S195="D"),"EXPLORATORIO","LISTO")))))</x:f>
      </x:c>
      <x:c r="X195" s="257"/>
      <x:c r="Y195" s="257"/>
      <x:c r="Z195" s="257"/>
      <x:c r="AA195" s="257"/>
      <x:c r="AB195" s="257"/>
      <x:c r="AC195" s="257"/>
      <x:c r="AD195" s="257"/>
      <x:c r="AE195" s="257"/>
      <x:c r="AF195" s="257"/>
      <x:c r="AG195" s="257"/>
      <x:c r="AH195" s="257"/>
      <x:c r="AI195" s="257"/>
    </x:row>
    <x:row r="196" ht="22" customHeight="1">
      <x:c r="A196" s="323"/>
      <x:c r="B196" s="323"/>
      <x:c r="C196" s="323"/>
      <x:c r="D196" s="323"/>
      <x:c r="E196" s="324"/>
      <x:c r="F196" s="323"/>
      <x:c r="G196" s="323"/>
      <x:c r="H196" s="325"/>
      <x:c r="I196" s="325"/>
      <x:c r="J196" s="325"/>
      <x:c r="K196" s="325"/>
      <x:c r="L196" s="325"/>
      <x:c r="M196" s="325"/>
      <x:c r="N196" s="325"/>
      <x:c r="O196" s="325"/>
      <x:c r="P196" s="326" t="str">
        <x:f>IF(OR($A196="",H196=""),"",H196*M196*N196*O196)</x:f>
      </x:c>
      <x:c r="Q196" s="326" t="str">
        <x:f>IF(OR($A196="",I196=""),"",I196*M196*N196*O196)</x:f>
      </x:c>
      <x:c r="R196" s="326" t="str">
        <x:f>IF(OR($A196="",J196=""),"",J196*M196*N196*O196)</x:f>
      </x:c>
      <x:c r="S196" s="323"/>
      <x:c r="T196" s="323"/>
      <x:c r="U196" s="323"/>
      <x:c r="V196" s="323"/>
      <x:c r="W196" s="327" t="str">
        <x:f>IF(A196="","",IF(OR(B196="",G196="",Q196="",S196="",T196="",U196=""),"INCOMPLETO",IF(OR(M196&lt;=0,N196&lt;=0,O196&lt;=0),"REVISAR FACTORES",IF(S196="X","EXCLUIDO",IF(OR(T196="Baja",S196="D"),"EXPLORATORIO","LISTO")))))</x:f>
      </x:c>
      <x:c r="X196" s="257"/>
      <x:c r="Y196" s="257"/>
      <x:c r="Z196" s="257"/>
      <x:c r="AA196" s="257"/>
      <x:c r="AB196" s="257"/>
      <x:c r="AC196" s="257"/>
      <x:c r="AD196" s="257"/>
      <x:c r="AE196" s="257"/>
      <x:c r="AF196" s="257"/>
      <x:c r="AG196" s="257"/>
      <x:c r="AH196" s="257"/>
      <x:c r="AI196" s="257"/>
    </x:row>
    <x:row r="197" ht="22" customHeight="1">
      <x:c r="A197" s="323"/>
      <x:c r="B197" s="323"/>
      <x:c r="C197" s="323"/>
      <x:c r="D197" s="323"/>
      <x:c r="E197" s="324"/>
      <x:c r="F197" s="323"/>
      <x:c r="G197" s="323"/>
      <x:c r="H197" s="325"/>
      <x:c r="I197" s="325"/>
      <x:c r="J197" s="325"/>
      <x:c r="K197" s="325"/>
      <x:c r="L197" s="325"/>
      <x:c r="M197" s="325"/>
      <x:c r="N197" s="325"/>
      <x:c r="O197" s="325"/>
      <x:c r="P197" s="326" t="str">
        <x:f>IF(OR($A197="",H197=""),"",H197*M197*N197*O197)</x:f>
      </x:c>
      <x:c r="Q197" s="326" t="str">
        <x:f>IF(OR($A197="",I197=""),"",I197*M197*N197*O197)</x:f>
      </x:c>
      <x:c r="R197" s="326" t="str">
        <x:f>IF(OR($A197="",J197=""),"",J197*M197*N197*O197)</x:f>
      </x:c>
      <x:c r="S197" s="323"/>
      <x:c r="T197" s="323"/>
      <x:c r="U197" s="323"/>
      <x:c r="V197" s="323"/>
      <x:c r="W197" s="327" t="str">
        <x:f>IF(A197="","",IF(OR(B197="",G197="",Q197="",S197="",T197="",U197=""),"INCOMPLETO",IF(OR(M197&lt;=0,N197&lt;=0,O197&lt;=0),"REVISAR FACTORES",IF(S197="X","EXCLUIDO",IF(OR(T197="Baja",S197="D"),"EXPLORATORIO","LISTO")))))</x:f>
      </x:c>
      <x:c r="X197" s="257"/>
      <x:c r="Y197" s="257"/>
      <x:c r="Z197" s="257"/>
      <x:c r="AA197" s="257"/>
      <x:c r="AB197" s="257"/>
      <x:c r="AC197" s="257"/>
      <x:c r="AD197" s="257"/>
      <x:c r="AE197" s="257"/>
      <x:c r="AF197" s="257"/>
      <x:c r="AG197" s="257"/>
      <x:c r="AH197" s="257"/>
      <x:c r="AI197" s="257"/>
    </x:row>
    <x:row r="198" ht="22" customHeight="1">
      <x:c r="A198" s="323"/>
      <x:c r="B198" s="323"/>
      <x:c r="C198" s="323"/>
      <x:c r="D198" s="323"/>
      <x:c r="E198" s="324"/>
      <x:c r="F198" s="323"/>
      <x:c r="G198" s="323"/>
      <x:c r="H198" s="325"/>
      <x:c r="I198" s="325"/>
      <x:c r="J198" s="325"/>
      <x:c r="K198" s="325"/>
      <x:c r="L198" s="325"/>
      <x:c r="M198" s="325"/>
      <x:c r="N198" s="325"/>
      <x:c r="O198" s="325"/>
      <x:c r="P198" s="326" t="str">
        <x:f>IF(OR($A198="",H198=""),"",H198*M198*N198*O198)</x:f>
      </x:c>
      <x:c r="Q198" s="326" t="str">
        <x:f>IF(OR($A198="",I198=""),"",I198*M198*N198*O198)</x:f>
      </x:c>
      <x:c r="R198" s="326" t="str">
        <x:f>IF(OR($A198="",J198=""),"",J198*M198*N198*O198)</x:f>
      </x:c>
      <x:c r="S198" s="323"/>
      <x:c r="T198" s="323"/>
      <x:c r="U198" s="323"/>
      <x:c r="V198" s="323"/>
      <x:c r="W198" s="327" t="str">
        <x:f>IF(A198="","",IF(OR(B198="",G198="",Q198="",S198="",T198="",U198=""),"INCOMPLETO",IF(OR(M198&lt;=0,N198&lt;=0,O198&lt;=0),"REVISAR FACTORES",IF(S198="X","EXCLUIDO",IF(OR(T198="Baja",S198="D"),"EXPLORATORIO","LISTO")))))</x:f>
      </x:c>
      <x:c r="X198" s="257"/>
      <x:c r="Y198" s="257"/>
      <x:c r="Z198" s="257"/>
      <x:c r="AA198" s="257"/>
      <x:c r="AB198" s="257"/>
      <x:c r="AC198" s="257"/>
      <x:c r="AD198" s="257"/>
      <x:c r="AE198" s="257"/>
      <x:c r="AF198" s="257"/>
      <x:c r="AG198" s="257"/>
      <x:c r="AH198" s="257"/>
      <x:c r="AI198" s="257"/>
    </x:row>
    <x:row r="199" ht="22" customHeight="1">
      <x:c r="A199" s="323"/>
      <x:c r="B199" s="323"/>
      <x:c r="C199" s="323"/>
      <x:c r="D199" s="323"/>
      <x:c r="E199" s="324"/>
      <x:c r="F199" s="323"/>
      <x:c r="G199" s="323"/>
      <x:c r="H199" s="325"/>
      <x:c r="I199" s="325"/>
      <x:c r="J199" s="325"/>
      <x:c r="K199" s="325"/>
      <x:c r="L199" s="325"/>
      <x:c r="M199" s="325"/>
      <x:c r="N199" s="325"/>
      <x:c r="O199" s="325"/>
      <x:c r="P199" s="326" t="str">
        <x:f>IF(OR($A199="",H199=""),"",H199*M199*N199*O199)</x:f>
      </x:c>
      <x:c r="Q199" s="326" t="str">
        <x:f>IF(OR($A199="",I199=""),"",I199*M199*N199*O199)</x:f>
      </x:c>
      <x:c r="R199" s="326" t="str">
        <x:f>IF(OR($A199="",J199=""),"",J199*M199*N199*O199)</x:f>
      </x:c>
      <x:c r="S199" s="323"/>
      <x:c r="T199" s="323"/>
      <x:c r="U199" s="323"/>
      <x:c r="V199" s="323"/>
      <x:c r="W199" s="327" t="str">
        <x:f>IF(A199="","",IF(OR(B199="",G199="",Q199="",S199="",T199="",U199=""),"INCOMPLETO",IF(OR(M199&lt;=0,N199&lt;=0,O199&lt;=0),"REVISAR FACTORES",IF(S199="X","EXCLUIDO",IF(OR(T199="Baja",S199="D"),"EXPLORATORIO","LISTO")))))</x:f>
      </x:c>
      <x:c r="X199" s="257"/>
      <x:c r="Y199" s="257"/>
      <x:c r="Z199" s="257"/>
      <x:c r="AA199" s="257"/>
      <x:c r="AB199" s="257"/>
      <x:c r="AC199" s="257"/>
      <x:c r="AD199" s="257"/>
      <x:c r="AE199" s="257"/>
      <x:c r="AF199" s="257"/>
      <x:c r="AG199" s="257"/>
      <x:c r="AH199" s="257"/>
      <x:c r="AI199" s="257"/>
    </x:row>
    <x:row r="200" ht="22" customHeight="1">
      <x:c r="A200" s="323"/>
      <x:c r="B200" s="323"/>
      <x:c r="C200" s="323"/>
      <x:c r="D200" s="323"/>
      <x:c r="E200" s="324"/>
      <x:c r="F200" s="323"/>
      <x:c r="G200" s="323"/>
      <x:c r="H200" s="325"/>
      <x:c r="I200" s="325"/>
      <x:c r="J200" s="325"/>
      <x:c r="K200" s="325"/>
      <x:c r="L200" s="325"/>
      <x:c r="M200" s="325"/>
      <x:c r="N200" s="325"/>
      <x:c r="O200" s="325"/>
      <x:c r="P200" s="326" t="str">
        <x:f>IF(OR($A200="",H200=""),"",H200*M200*N200*O200)</x:f>
      </x:c>
      <x:c r="Q200" s="326" t="str">
        <x:f>IF(OR($A200="",I200=""),"",I200*M200*N200*O200)</x:f>
      </x:c>
      <x:c r="R200" s="326" t="str">
        <x:f>IF(OR($A200="",J200=""),"",J200*M200*N200*O200)</x:f>
      </x:c>
      <x:c r="S200" s="323"/>
      <x:c r="T200" s="323"/>
      <x:c r="U200" s="323"/>
      <x:c r="V200" s="323"/>
      <x:c r="W200" s="327" t="str">
        <x:f>IF(A200="","",IF(OR(B200="",G200="",Q200="",S200="",T200="",U200=""),"INCOMPLETO",IF(OR(M200&lt;=0,N200&lt;=0,O200&lt;=0),"REVISAR FACTORES",IF(S200="X","EXCLUIDO",IF(OR(T200="Baja",S200="D"),"EXPLORATORIO","LISTO")))))</x:f>
      </x:c>
      <x:c r="X200" s="257"/>
      <x:c r="Y200" s="257"/>
      <x:c r="Z200" s="257"/>
      <x:c r="AA200" s="257"/>
      <x:c r="AB200" s="257"/>
      <x:c r="AC200" s="257"/>
      <x:c r="AD200" s="257"/>
      <x:c r="AE200" s="257"/>
      <x:c r="AF200" s="257"/>
      <x:c r="AG200" s="257"/>
      <x:c r="AH200" s="257"/>
      <x:c r="AI200" s="257"/>
    </x:row>
    <x:row r="201" ht="22" customHeight="1">
      <x:c r="A201" s="323"/>
      <x:c r="B201" s="323"/>
      <x:c r="C201" s="323"/>
      <x:c r="D201" s="323"/>
      <x:c r="E201" s="324"/>
      <x:c r="F201" s="323"/>
      <x:c r="G201" s="323"/>
      <x:c r="H201" s="325"/>
      <x:c r="I201" s="325"/>
      <x:c r="J201" s="325"/>
      <x:c r="K201" s="325"/>
      <x:c r="L201" s="325"/>
      <x:c r="M201" s="325"/>
      <x:c r="N201" s="325"/>
      <x:c r="O201" s="325"/>
      <x:c r="P201" s="326" t="str">
        <x:f>IF(OR($A201="",H201=""),"",H201*M201*N201*O201)</x:f>
      </x:c>
      <x:c r="Q201" s="326" t="str">
        <x:f>IF(OR($A201="",I201=""),"",I201*M201*N201*O201)</x:f>
      </x:c>
      <x:c r="R201" s="326" t="str">
        <x:f>IF(OR($A201="",J201=""),"",J201*M201*N201*O201)</x:f>
      </x:c>
      <x:c r="S201" s="323"/>
      <x:c r="T201" s="323"/>
      <x:c r="U201" s="323"/>
      <x:c r="V201" s="323"/>
      <x:c r="W201" s="327" t="str">
        <x:f>IF(A201="","",IF(OR(B201="",G201="",Q201="",S201="",T201="",U201=""),"INCOMPLETO",IF(OR(M201&lt;=0,N201&lt;=0,O201&lt;=0),"REVISAR FACTORES",IF(S201="X","EXCLUIDO",IF(OR(T201="Baja",S201="D"),"EXPLORATORIO","LISTO")))))</x:f>
      </x:c>
      <x:c r="X201" s="257"/>
      <x:c r="Y201" s="257"/>
      <x:c r="Z201" s="257"/>
      <x:c r="AA201" s="257"/>
      <x:c r="AB201" s="257"/>
      <x:c r="AC201" s="257"/>
      <x:c r="AD201" s="257"/>
      <x:c r="AE201" s="257"/>
      <x:c r="AF201" s="257"/>
      <x:c r="AG201" s="257"/>
      <x:c r="AH201" s="257"/>
      <x:c r="AI201" s="257"/>
    </x:row>
    <x:row r="202" ht="22" customHeight="1">
      <x:c r="A202" s="323"/>
      <x:c r="B202" s="323"/>
      <x:c r="C202" s="323"/>
      <x:c r="D202" s="323"/>
      <x:c r="E202" s="324"/>
      <x:c r="F202" s="323"/>
      <x:c r="G202" s="323"/>
      <x:c r="H202" s="325"/>
      <x:c r="I202" s="325"/>
      <x:c r="J202" s="325"/>
      <x:c r="K202" s="325"/>
      <x:c r="L202" s="325"/>
      <x:c r="M202" s="325"/>
      <x:c r="N202" s="325"/>
      <x:c r="O202" s="325"/>
      <x:c r="P202" s="326" t="str">
        <x:f>IF(OR($A202="",H202=""),"",H202*M202*N202*O202)</x:f>
      </x:c>
      <x:c r="Q202" s="326" t="str">
        <x:f>IF(OR($A202="",I202=""),"",I202*M202*N202*O202)</x:f>
      </x:c>
      <x:c r="R202" s="326" t="str">
        <x:f>IF(OR($A202="",J202=""),"",J202*M202*N202*O202)</x:f>
      </x:c>
      <x:c r="S202" s="323"/>
      <x:c r="T202" s="323"/>
      <x:c r="U202" s="323"/>
      <x:c r="V202" s="323"/>
      <x:c r="W202" s="327" t="str">
        <x:f>IF(A202="","",IF(OR(B202="",G202="",Q202="",S202="",T202="",U202=""),"INCOMPLETO",IF(OR(M202&lt;=0,N202&lt;=0,O202&lt;=0),"REVISAR FACTORES",IF(S202="X","EXCLUIDO",IF(OR(T202="Baja",S202="D"),"EXPLORATORIO","LISTO")))))</x:f>
      </x:c>
      <x:c r="X202" s="257"/>
      <x:c r="Y202" s="257"/>
      <x:c r="Z202" s="257"/>
      <x:c r="AA202" s="257"/>
      <x:c r="AB202" s="257"/>
      <x:c r="AC202" s="257"/>
      <x:c r="AD202" s="257"/>
      <x:c r="AE202" s="257"/>
      <x:c r="AF202" s="257"/>
      <x:c r="AG202" s="257"/>
      <x:c r="AH202" s="257"/>
      <x:c r="AI202" s="257"/>
    </x:row>
    <x:row r="203" ht="22" customHeight="1">
      <x:c r="A203" s="323"/>
      <x:c r="B203" s="323"/>
      <x:c r="C203" s="323"/>
      <x:c r="D203" s="323"/>
      <x:c r="E203" s="324"/>
      <x:c r="F203" s="323"/>
      <x:c r="G203" s="323"/>
      <x:c r="H203" s="325"/>
      <x:c r="I203" s="325"/>
      <x:c r="J203" s="325"/>
      <x:c r="K203" s="325"/>
      <x:c r="L203" s="325"/>
      <x:c r="M203" s="325"/>
      <x:c r="N203" s="325"/>
      <x:c r="O203" s="325"/>
      <x:c r="P203" s="326" t="str">
        <x:f>IF(OR($A203="",H203=""),"",H203*M203*N203*O203)</x:f>
      </x:c>
      <x:c r="Q203" s="326" t="str">
        <x:f>IF(OR($A203="",I203=""),"",I203*M203*N203*O203)</x:f>
      </x:c>
      <x:c r="R203" s="326" t="str">
        <x:f>IF(OR($A203="",J203=""),"",J203*M203*N203*O203)</x:f>
      </x:c>
      <x:c r="S203" s="323"/>
      <x:c r="T203" s="323"/>
      <x:c r="U203" s="323"/>
      <x:c r="V203" s="323"/>
      <x:c r="W203" s="327" t="str">
        <x:f>IF(A203="","",IF(OR(B203="",G203="",Q203="",S203="",T203="",U203=""),"INCOMPLETO",IF(OR(M203&lt;=0,N203&lt;=0,O203&lt;=0),"REVISAR FACTORES",IF(S203="X","EXCLUIDO",IF(OR(T203="Baja",S203="D"),"EXPLORATORIO","LISTO")))))</x:f>
      </x:c>
      <x:c r="X203" s="257"/>
      <x:c r="Y203" s="257"/>
      <x:c r="Z203" s="257"/>
      <x:c r="AA203" s="257"/>
      <x:c r="AB203" s="257"/>
      <x:c r="AC203" s="257"/>
      <x:c r="AD203" s="257"/>
      <x:c r="AE203" s="257"/>
      <x:c r="AF203" s="257"/>
      <x:c r="AG203" s="257"/>
      <x:c r="AH203" s="257"/>
      <x:c r="AI203" s="257"/>
    </x:row>
    <x:row r="204" ht="22" customHeight="1">
      <x:c r="A204" s="323"/>
      <x:c r="B204" s="323"/>
      <x:c r="C204" s="323"/>
      <x:c r="D204" s="323"/>
      <x:c r="E204" s="324"/>
      <x:c r="F204" s="323"/>
      <x:c r="G204" s="323"/>
      <x:c r="H204" s="325"/>
      <x:c r="I204" s="325"/>
      <x:c r="J204" s="325"/>
      <x:c r="K204" s="325"/>
      <x:c r="L204" s="325"/>
      <x:c r="M204" s="325"/>
      <x:c r="N204" s="325"/>
      <x:c r="O204" s="325"/>
      <x:c r="P204" s="326" t="str">
        <x:f>IF(OR($A204="",H204=""),"",H204*M204*N204*O204)</x:f>
      </x:c>
      <x:c r="Q204" s="326" t="str">
        <x:f>IF(OR($A204="",I204=""),"",I204*M204*N204*O204)</x:f>
      </x:c>
      <x:c r="R204" s="326" t="str">
        <x:f>IF(OR($A204="",J204=""),"",J204*M204*N204*O204)</x:f>
      </x:c>
      <x:c r="S204" s="323"/>
      <x:c r="T204" s="323"/>
      <x:c r="U204" s="323"/>
      <x:c r="V204" s="323"/>
      <x:c r="W204" s="327" t="str">
        <x:f>IF(A204="","",IF(OR(B204="",G204="",Q204="",S204="",T204="",U204=""),"INCOMPLETO",IF(OR(M204&lt;=0,N204&lt;=0,O204&lt;=0),"REVISAR FACTORES",IF(S204="X","EXCLUIDO",IF(OR(T204="Baja",S204="D"),"EXPLORATORIO","LISTO")))))</x:f>
      </x:c>
      <x:c r="X204" s="257"/>
      <x:c r="Y204" s="257"/>
      <x:c r="Z204" s="257"/>
      <x:c r="AA204" s="257"/>
      <x:c r="AB204" s="257"/>
      <x:c r="AC204" s="257"/>
      <x:c r="AD204" s="257"/>
      <x:c r="AE204" s="257"/>
      <x:c r="AF204" s="257"/>
      <x:c r="AG204" s="257"/>
      <x:c r="AH204" s="257"/>
      <x:c r="AI204" s="257"/>
    </x:row>
    <x:row r="205" ht="22" customHeight="1">
      <x:c r="A205" s="328"/>
      <x:c r="B205" s="328"/>
      <x:c r="C205" s="328"/>
      <x:c r="D205" s="328"/>
      <x:c r="E205" s="329"/>
      <x:c r="F205" s="328"/>
      <x:c r="G205" s="328"/>
      <x:c r="H205" s="330"/>
      <x:c r="I205" s="330"/>
      <x:c r="J205" s="330"/>
      <x:c r="K205" s="330"/>
      <x:c r="L205" s="330"/>
      <x:c r="M205" s="330"/>
      <x:c r="N205" s="330"/>
      <x:c r="O205" s="330"/>
      <x:c r="P205" s="331" t="str">
        <x:f>IF(OR($A205="",H205=""),"",H205*M205*N205*O205)</x:f>
      </x:c>
      <x:c r="Q205" s="331" t="str">
        <x:f>IF(OR($A205="",I205=""),"",I205*M205*N205*O205)</x:f>
      </x:c>
      <x:c r="R205" s="331" t="str">
        <x:f>IF(OR($A205="",J205=""),"",J205*M205*N205*O205)</x:f>
      </x:c>
      <x:c r="S205" s="328"/>
      <x:c r="T205" s="328"/>
      <x:c r="U205" s="328"/>
      <x:c r="V205" s="328"/>
      <x:c r="W205" s="332" t="str">
        <x:f>IF(A205="","",IF(OR(B205="",G205="",Q205="",S205="",T205="",U205=""),"INCOMPLETO",IF(OR(M205&lt;=0,N205&lt;=0,O205&lt;=0),"REVISAR FACTORES",IF(S205="X","EXCLUIDO",IF(OR(T205="Baja",S205="D"),"EXPLORATORIO","LISTO")))))</x:f>
      </x:c>
      <x:c r="X205" s="257"/>
      <x:c r="Y205" s="257"/>
      <x:c r="Z205" s="257"/>
      <x:c r="AA205" s="257"/>
      <x:c r="AB205" s="257"/>
      <x:c r="AC205" s="257"/>
      <x:c r="AD205" s="257"/>
      <x:c r="AE205" s="257"/>
      <x:c r="AF205" s="257"/>
      <x:c r="AG205" s="257"/>
      <x:c r="AH205" s="257"/>
      <x:c r="AI205" s="257"/>
    </x:row>
  </x:sheetData>
  <x:mergeCells>
    <x:mergeCell ref="A1:AL1"/>
    <x:mergeCell ref="A2:AL2"/>
    <x:mergeCell ref="A3:AL3"/>
  </x:mergeCells>
  <x:conditionalFormatting sqref="W6:W205">
    <x:cfRule type="containsText" dxfId="0" priority="1" operator="containsText" text="LISTO"/>
    <x:cfRule type="containsText" dxfId="1" priority="2" operator="containsText" text="INCOMPLETO"/>
    <x:cfRule type="containsText" dxfId="2" priority="3" operator="containsText" text="EXCLUIDO"/>
    <x:cfRule type="containsText" dxfId="3" priority="4" operator="containsText" text="REVISAR"/>
    <x:cfRule type="containsText" dxfId="4" priority="5" operator="containsText" text="EXPLORATORIO"/>
  </x:conditionalFormatting>
  <x:dataValidations count="5">
    <x:dataValidation type="list" sqref="S6:S205">
      <x:formula1>'CATALOGOS'!$A$2:$A$6</x:formula1>
    </x:dataValidation>
    <x:dataValidation type="list" sqref="T6:T205">
      <x:formula1>'CATALOGOS'!$B$2:$B$4</x:formula1>
    </x:dataValidation>
    <x:dataValidation type="list" sqref="K6:K205">
      <x:formula1>'CATALOGOS'!$C$2:$C$9</x:formula1>
    </x:dataValidation>
    <x:dataValidation type="list" sqref="S6:S100">
      <x:formula1>"A,B,C,D,X"</x:formula1>
    </x:dataValidation>
    <x:dataValidation type="list" sqref="T6:T100">
      <x:formula1>"Alta,Media,Baja"</x:formula1>
    </x:dataValidation>
  </x:dataValidations>
  <x:pageMargins left="0.7" right="0.7" top="0.75" bottom="0.75" header="0.3" footer="0.3"/>
  <x:legacyDrawing xmlns:r="http://schemas.openxmlformats.org/officeDocument/2006/relationships" r:id="R322798fb54654370"/>
  <x:tableParts count="1">
    <x:tablePart xmlns:r="http://schemas.openxmlformats.org/officeDocument/2006/relationships" r:id="R1e7c9924f9a74c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0" hidden="0" customWidth="1"/>
    <x:col min="3" max="3" width="40" hidden="0" customWidth="1"/>
    <x:col min="4" max="4" width="39" hidden="0" customWidth="1"/>
    <x:col min="5" max="5" width="19" hidden="0" customWidth="1"/>
    <x:col min="6" max="6" width="40" hidden="0" customWidth="1"/>
    <x:col min="7" max="7" width="33" hidden="0" customWidth="1"/>
  </x:cols>
  <x:sheetData>
    <x:row r="1" ht="38" customHeight="1">
      <x:c r="A1" s="255" t="str">
        <x:v>Cuentas del cálculo VDEP</x:v>
      </x:c>
      <x:c r="B1" s="255" t="str">
        <x:v>Cuentas del cálculo VDEP</x:v>
      </x:c>
      <x:c r="C1" s="255" t="str">
        <x:v>Cuentas del cálculo VDEP</x:v>
      </x:c>
      <x:c r="D1" s="255" t="str">
        <x:v>Cuentas del cálculo VDEP</x:v>
      </x:c>
      <x:c r="E1" s="255" t="str">
        <x:v>Cuentas del cálculo VDEP</x:v>
      </x:c>
      <x:c r="F1" s="255" t="str">
        <x:v>Cuentas del cálculo VDEP</x:v>
      </x:c>
      <x:c r="G1" s="255" t="str">
        <x:v>Cuentas del cálculo VDEP</x:v>
      </x:c>
    </x:row>
    <x:row r="2" ht="32" customHeight="1">
      <x:c r="A2" s="256" t="str">
        <x:v>La app presenta las cuentas separadas para conservar trazabilidad y reducir el riesgo de doble conteo.</x:v>
      </x:c>
      <x:c r="B2" s="256" t="str">
        <x:v>La app presenta las cuentas separadas para conservar trazabilidad y reducir el riesgo de doble conteo.</x:v>
      </x:c>
      <x:c r="C2" s="256" t="str">
        <x:v>La app presenta las cuentas separadas para conservar trazabilidad y reducir el riesgo de doble conteo.</x:v>
      </x:c>
      <x:c r="D2" s="256" t="str">
        <x:v>La app presenta las cuentas separadas para conservar trazabilidad y reducir el riesgo de doble conteo.</x:v>
      </x:c>
      <x:c r="E2" s="256" t="str">
        <x:v>La app presenta las cuentas separadas para conservar trazabilidad y reducir el riesgo de doble conteo.</x:v>
      </x:c>
      <x:c r="F2" s="256" t="str">
        <x:v>La app presenta las cuentas separadas para conservar trazabilidad y reducir el riesgo de doble conteo.</x:v>
      </x:c>
      <x:c r="G2" s="256" t="str">
        <x:v>La app presenta las cuentas separadas para conservar trazabilidad y reducir el riesgo de doble conteo.</x:v>
      </x:c>
    </x:row>
    <x:row r="3">
      <x:c r="A3" s="257"/>
      <x:c r="B3" s="257"/>
      <x:c r="C3" s="257"/>
      <x:c r="D3" s="257"/>
      <x:c r="E3" s="257"/>
      <x:c r="F3" s="257"/>
      <x:c r="G3" s="257"/>
    </x:row>
    <x:row r="4" ht="34" customHeight="1">
      <x:c r="A4" s="306" t="str">
        <x:v>CODIGO</x:v>
      </x:c>
      <x:c r="B4" s="307" t="str">
        <x:v>NOMBRE</x:v>
      </x:c>
      <x:c r="C4" s="307" t="str">
        <x:v>QUÉ INCLUYE</x:v>
      </x:c>
      <x:c r="D4" s="307" t="str">
        <x:v>BASE TÍPICA</x:v>
      </x:c>
      <x:c r="E4" s="307" t="str">
        <x:v>RESULTADO</x:v>
      </x:c>
      <x:c r="F4" s="307" t="str">
        <x:v>RIESGO DE DOBLE CONTEO</x:v>
      </x:c>
      <x:c r="G4" s="308" t="str">
        <x:v>TRATAMIENTO</x:v>
      </x:c>
    </x:row>
    <x:row r="5" ht="56" customHeight="1">
      <x:c r="A5" s="403" t="str">
        <x:v>A1</x:v>
      </x:c>
      <x:c r="B5" s="404" t="str">
        <x:v>Pérdida biofísica o poblacional</x:v>
      </x:c>
      <x:c r="C5" s="404" t="str">
        <x:v>Extracción, lesión, pérdida reproductiva o poblacional.</x:v>
      </x:c>
      <x:c r="D5" s="404" t="str">
        <x:v>Cantidad × valor o equivalencia defendible.</x:v>
      </x:c>
      <x:c r="E5" s="404" t="str">
        <x:v>Bajo / central / alto</x:v>
      </x:c>
      <x:c r="F5" s="404" t="str">
        <x:v>No duplicar A2 o R.</x:v>
      </x:c>
      <x:c r="G5" s="404" t="str">
        <x:v>Cuenta principal con causalidad y evidencia.</x:v>
      </x:c>
    </x:row>
    <x:row r="6" ht="56" customHeight="1">
      <x:c r="A6" s="403" t="str">
        <x:v>A2</x:v>
      </x:c>
      <x:c r="B6" s="404" t="str">
        <x:v>Pérdida irreversible individual</x:v>
      </x:c>
      <x:c r="C6" s="404" t="str">
        <x:v>Muerte o pérdida definitiva de función silvestre.</x:v>
      </x:c>
      <x:c r="D6" s="404" t="str">
        <x:v>Precio sombra o equivalencia de conservación.</x:v>
      </x:c>
      <x:c r="E6" s="404" t="str">
        <x:v>Bajo / central / alto</x:v>
      </x:c>
      <x:c r="F6" s="404" t="str">
        <x:v>No sumar con R si reparan lo mismo.</x:v>
      </x:c>
      <x:c r="G6" s="404" t="str">
        <x:v>Cuenta separada y trazable.</x:v>
      </x:c>
    </x:row>
    <x:row r="7" ht="56" customHeight="1">
      <x:c r="A7" s="403" t="str">
        <x:v>B</x:v>
      </x:c>
      <x:c r="B7" s="404" t="str">
        <x:v>Servicios ecosistémicos</x:v>
      </x:c>
      <x:c r="C7" s="404" t="str">
        <x:v>Flujo perdido para beneficiarios y periodo definidos.</x:v>
      </x:c>
      <x:c r="D7" s="404" t="str">
        <x:v>Unidades × pérdida × valor unitario.</x:v>
      </x:c>
      <x:c r="E7" s="404" t="str">
        <x:v>Valor presente</x:v>
      </x:c>
      <x:c r="F7" s="404" t="str">
        <x:v>Descontar beneficios restituidos por R.</x:v>
      </x:c>
      <x:c r="G7" s="404" t="str">
        <x:v>Cuenta separada.</x:v>
      </x:c>
    </x:row>
    <x:row r="8" ht="56" customHeight="1">
      <x:c r="A8" s="403" t="str">
        <x:v>C</x:v>
      </x:c>
      <x:c r="B8" s="404" t="str">
        <x:v>Respuesta pública incremental</x:v>
      </x:c>
      <x:c r="C8" s="404" t="str">
        <x:v>Control, investigación, custodia, peritaje y proceso.</x:v>
      </x:c>
      <x:c r="D8" s="404" t="str">
        <x:v>Cantidad × costo unitario.</x:v>
      </x:c>
      <x:c r="E8" s="404" t="str">
        <x:v>Bajo / central / alto</x:v>
      </x:c>
      <x:c r="F8" s="404" t="str">
        <x:v>Excluir gasto ordinario no adicional.</x:v>
      </x:c>
      <x:c r="G8" s="404" t="str">
        <x:v>Por institución y fase.</x:v>
      </x:c>
    </x:row>
    <x:row r="9" ht="56" customHeight="1">
      <x:c r="A9" s="403" t="str">
        <x:v>D</x:v>
      </x:c>
      <x:c r="B9" s="404" t="str">
        <x:v>Rescate, rehabilitación y cuidado</x:v>
      </x:c>
      <x:c r="C9" s="404" t="str">
        <x:v>Atención, cuarentena, rehabilitación y cuidado permanente.</x:v>
      </x:c>
      <x:c r="D9" s="404" t="str">
        <x:v>Cantidad × costo unitario.</x:v>
      </x:c>
      <x:c r="E9" s="404" t="str">
        <x:v>Bajo / central / alto</x:v>
      </x:c>
      <x:c r="F9" s="404" t="str">
        <x:v>No sustituye el daño ecológico.</x:v>
      </x:c>
      <x:c r="G9" s="404" t="str">
        <x:v>Cuenta separada.</x:v>
      </x:c>
    </x:row>
    <x:row r="10" ht="56" customHeight="1">
      <x:c r="A10" s="403" t="str">
        <x:v>E</x:v>
      </x:c>
      <x:c r="B10" s="404" t="str">
        <x:v>Efectos conexos demostrados</x:v>
      </x:c>
      <x:c r="C10" s="404" t="str">
        <x:v>Efectos sanitarios, sociales o económicos con nexo.</x:v>
      </x:c>
      <x:c r="D10" s="404" t="str">
        <x:v>Cantidad × costo unitario.</x:v>
      </x:c>
      <x:c r="E10" s="404" t="str">
        <x:v>Bajo / central / alto</x:v>
      </x:c>
      <x:c r="F10" s="404" t="str">
        <x:v>No monetizar riesgos hipotéticos.</x:v>
      </x:c>
      <x:c r="G10" s="404" t="str">
        <x:v>Cuenta separada o exploratoria.</x:v>
      </x:c>
    </x:row>
    <x:row r="11">
      <x:c r="A11" s="404" t="str">
        <x:v>R</x:v>
      </x:c>
      <x:c r="B11" s="404" t="str">
        <x:v>Restauración o equivalencia</x:v>
      </x:c>
      <x:c r="C11" s="404" t="str">
        <x:v>Acción factible y adicional vinculada a una lesión.</x:v>
      </x:c>
      <x:c r="D11" s="404" t="str">
        <x:v>Cantidad × costo unitario.</x:v>
      </x:c>
      <x:c r="E11" s="404" t="str">
        <x:v>Bajo / central / alto</x:v>
      </x:c>
      <x:c r="F11" s="404" t="str">
        <x:v>No sumar con A2/B si expresa lo mismo.</x:v>
      </x:c>
      <x:c r="G11" s="404" t="str">
        <x:v>Separada y sumable al total compatible solo tras la revisión.</x:v>
      </x:c>
    </x:row>
    <x:row r="12">
      <x:c r="A12" s="404" t="str">
        <x:v>G</x:v>
      </x:c>
      <x:c r="B12" s="404" t="str">
        <x:v>Gravedad ética y jurídica</x:v>
      </x:c>
      <x:c r="C12" s="404" t="str">
        <x:v>Intencionalidad, sufrimiento, irreversibilidad y protección.</x:v>
      </x:c>
      <x:c r="D12" s="404" t="str">
        <x:v>Matriz cualitativa.</x:v>
      </x:c>
      <x:c r="E12" s="404" t="str">
        <x:v>No monetaria</x:v>
      </x:c>
      <x:c r="F12" s="404" t="str">
        <x:v>Nunca multiplicador automático.</x:v>
      </x:c>
      <x:c r="G12" s="404" t="str">
        <x:v>Capa descriptiva.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302569818e446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31" hidden="0" customWidth="1"/>
    <x:col min="4" max="4" width="25" hidden="0" customWidth="1"/>
    <x:col min="5" max="5" width="14" hidden="0" customWidth="1"/>
    <x:col min="6" max="6" width="14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8" customHeight="1">
      <x:c r="A1" s="255" t="str">
        <x:v>Catálogos controlados</x:v>
      </x:c>
      <x:c r="B1" s="255" t="str">
        <x:v>Catálogos controlados</x:v>
      </x:c>
      <x:c r="C1" s="255" t="str">
        <x:v>Catálogos controlados</x:v>
      </x:c>
      <x:c r="D1" s="255" t="str">
        <x:v>Catálogos controlados</x:v>
      </x:c>
      <x:c r="E1" s="255" t="str">
        <x:v>Catálogos controlados</x:v>
      </x:c>
      <x:c r="F1" s="255" t="str">
        <x:v>Catálogos controlados</x:v>
      </x:c>
      <x:c r="G1" s="257"/>
      <x:c r="H1" s="257"/>
      <x:c r="I1" s="257"/>
      <x:c r="J1" s="257"/>
    </x:row>
    <x:row r="2" ht="32" customHeight="1">
      <x:c r="A2" s="256" t="str">
        <x:v>Listas utilizadas para validación de datos. Puede ampliarlas conservando los códigos existentes.</x:v>
      </x:c>
      <x:c r="B2" s="256" t="str">
        <x:v>Listas utilizadas para validación de datos. Puede ampliarlas conservando los códigos existentes.</x:v>
      </x:c>
      <x:c r="C2" s="256" t="str">
        <x:v>Listas utilizadas para validación de datos. Puede ampliarlas conservando los códigos existentes.</x:v>
      </x:c>
      <x:c r="D2" s="256" t="str">
        <x:v>Listas utilizadas para validación de datos. Puede ampliarlas conservando los códigos existentes.</x:v>
      </x:c>
      <x:c r="E2" s="256" t="str">
        <x:v>Listas utilizadas para validación de datos. Puede ampliarlas conservando los códigos existentes.</x:v>
      </x:c>
      <x:c r="F2" s="256" t="str">
        <x:v>Listas utilizadas para validación de datos. Puede ampliarlas conservando los códigos existentes.</x:v>
      </x:c>
      <x:c r="G2" s="257"/>
      <x:c r="H2" s="257"/>
      <x:c r="I2" s="257"/>
      <x:c r="J2" s="257"/>
    </x:row>
    <x:row r="3" ht="35" customHeight="1">
      <x:c r="A3" s="333" t="str">
        <x:v>NIVEL_EVIDENCIA</x:v>
      </x:c>
      <x:c r="B3" s="334" t="str">
        <x:v>COMPARABILIDAD</x:v>
      </x:c>
      <x:c r="C3" s="334" t="str">
        <x:v>METODO_VALORACION</x:v>
      </x:c>
      <x:c r="D3" s="334" t="str">
        <x:v>PERFIL_RECUPERACION</x:v>
      </x:c>
      <x:c r="E3" s="334" t="str">
        <x:v>SI_NO</x:v>
      </x:c>
      <x:c r="F3" s="334" t="str">
        <x:v>CUENTA</x:v>
      </x:c>
      <x:c r="G3" s="257"/>
      <x:c r="H3" s="315" t="str">
        <x:v>CATEGORIA_SERVICIO</x:v>
      </x:c>
      <x:c r="I3" s="315" t="str">
        <x:v>TIPO_AFECTACION</x:v>
      </x:c>
      <x:c r="J3" s="315" t="str">
        <x:v>GRUPO_TAXONOMICO</x:v>
      </x:c>
    </x:row>
    <x:row r="4">
      <x:c r="A4" s="335" t="str">
        <x:v>A</x:v>
      </x:c>
      <x:c r="B4" s="336" t="str">
        <x:v>Alta</x:v>
      </x:c>
      <x:c r="C4" s="336" t="str">
        <x:v>Costo de reposición</x:v>
      </x:c>
      <x:c r="D4" s="336" t="str">
        <x:v>Lineal</x:v>
      </x:c>
      <x:c r="E4" s="336" t="str">
        <x:v>Sí</x:v>
      </x:c>
      <x:c r="F4" s="336" t="str">
        <x:v>A</x:v>
      </x:c>
      <x:c r="G4" s="257"/>
      <x:c r="H4" s="337" t="str">
        <x:v>Abastecimiento</x:v>
      </x:c>
      <x:c r="I4" s="337" t="str">
        <x:v>Mortalidad</x:v>
      </x:c>
      <x:c r="J4" s="337" t="str">
        <x:v>Ave</x:v>
      </x:c>
    </x:row>
    <x:row r="5">
      <x:c r="A5" s="335" t="str">
        <x:v>B</x:v>
      </x:c>
      <x:c r="B5" s="336" t="str">
        <x:v>Media</x:v>
      </x:c>
      <x:c r="C5" s="336" t="str">
        <x:v>Costo evitado</x:v>
      </x:c>
      <x:c r="D5" s="336" t="str">
        <x:v>Constante</x:v>
      </x:c>
      <x:c r="E5" s="336" t="str">
        <x:v>No</x:v>
      </x:c>
      <x:c r="F5" s="336" t="str">
        <x:v>A1</x:v>
      </x:c>
      <x:c r="G5" s="257"/>
      <x:c r="H5" s="337" t="str">
        <x:v>Regulación</x:v>
      </x:c>
      <x:c r="I5" s="337" t="str">
        <x:v>Extracción</x:v>
      </x:c>
      <x:c r="J5" s="337" t="str">
        <x:v>Mamífero</x:v>
      </x:c>
    </x:row>
    <x:row r="6">
      <x:c r="A6" s="335" t="str">
        <x:v>C</x:v>
      </x:c>
      <x:c r="B6" s="336" t="str">
        <x:v>Baja</x:v>
      </x:c>
      <x:c r="C6" s="336" t="str">
        <x:v>Cambio de productividad</x:v>
      </x:c>
      <x:c r="D6" s="336" t="str">
        <x:v>Inmediata</x:v>
      </x:c>
      <x:c r="E6" s="336" t="str"/>
      <x:c r="F6" s="336" t="str">
        <x:v>A2</x:v>
      </x:c>
      <x:c r="G6" s="257"/>
      <x:c r="H6" s="337" t="str">
        <x:v>Cultural</x:v>
      </x:c>
      <x:c r="I6" s="337" t="str">
        <x:v>Lesión</x:v>
      </x:c>
      <x:c r="J6" s="337" t="str">
        <x:v>Reptil</x:v>
      </x:c>
    </x:row>
    <x:row r="7">
      <x:c r="A7" s="335" t="str">
        <x:v>D</x:v>
      </x:c>
      <x:c r="B7" s="336" t="str"/>
      <x:c r="C7" s="336" t="str">
        <x:v>Preferencia declarada</x:v>
      </x:c>
      <x:c r="D7" s="336" t="str"/>
      <x:c r="E7" s="336" t="str"/>
      <x:c r="F7" s="336" t="str">
        <x:v>B</x:v>
      </x:c>
      <x:c r="G7" s="257"/>
      <x:c r="H7" s="337" t="str">
        <x:v>Hábitat y soporte</x:v>
      </x:c>
      <x:c r="I7" s="337" t="str">
        <x:v>Desplazamiento</x:v>
      </x:c>
      <x:c r="J7" s="337" t="str">
        <x:v>Anfibio</x:v>
      </x:c>
    </x:row>
    <x:row r="8">
      <x:c r="A8" s="335" t="str">
        <x:v>X</x:v>
      </x:c>
      <x:c r="B8" s="336" t="str"/>
      <x:c r="C8" s="336" t="str">
        <x:v>Preferencia revelada</x:v>
      </x:c>
      <x:c r="D8" s="336" t="str"/>
      <x:c r="E8" s="336" t="str"/>
      <x:c r="F8" s="336" t="str">
        <x:v>C</x:v>
      </x:c>
      <x:c r="G8" s="257"/>
      <x:c r="H8" s="337"/>
      <x:c r="I8" s="337" t="str">
        <x:v>Pérdida reproductiva</x:v>
      </x:c>
      <x:c r="J8" s="337" t="str">
        <x:v>Pez</x:v>
      </x:c>
    </x:row>
    <x:row r="9">
      <x:c r="A9" s="335" t="str"/>
      <x:c r="B9" s="336" t="str"/>
      <x:c r="C9" s="336" t="str">
        <x:v>Transferencia de beneficios</x:v>
      </x:c>
      <x:c r="D9" s="336" t="str"/>
      <x:c r="E9" s="336" t="str"/>
      <x:c r="F9" s="336" t="str">
        <x:v>D</x:v>
      </x:c>
      <x:c r="G9" s="257"/>
      <x:c r="H9" s="337"/>
      <x:c r="I9" s="337" t="str">
        <x:v>Hábitat</x:v>
      </x:c>
      <x:c r="J9" s="337" t="str">
        <x:v>Invertebrado</x:v>
      </x:c>
    </x:row>
    <x:row r="10">
      <x:c r="A10" s="335" t="str"/>
      <x:c r="B10" s="336" t="str"/>
      <x:c r="C10" s="336" t="str">
        <x:v>Costo de viaje</x:v>
      </x:c>
      <x:c r="D10" s="336" t="str"/>
      <x:c r="E10" s="336" t="str"/>
      <x:c r="F10" s="336" t="str">
        <x:v>E</x:v>
      </x:c>
      <x:c r="G10" s="257"/>
      <x:c r="H10" s="337"/>
      <x:c r="I10" s="337" t="str">
        <x:v>Otra</x:v>
      </x:c>
      <x:c r="J10" s="337" t="str">
        <x:v>Grupo mixto</x:v>
      </x:c>
    </x:row>
    <x:row r="11">
      <x:c r="A11" s="335" t="str"/>
      <x:c r="B11" s="336" t="str"/>
      <x:c r="C11" s="336" t="str">
        <x:v>Precio de mercado</x:v>
      </x:c>
      <x:c r="D11" s="336" t="str"/>
      <x:c r="E11" s="336" t="str"/>
      <x:c r="F11" s="336" t="str">
        <x:v>R</x:v>
      </x:c>
      <x:c r="G11" s="257"/>
      <x:c r="H11" s="337"/>
      <x:c r="I11" s="337"/>
      <x:c r="J11" s="337" t="str">
        <x:v>Planta</x:v>
      </x:c>
    </x:row>
    <x:row r="12">
      <x:c r="A12" s="338" t="str"/>
      <x:c r="B12" s="339" t="str"/>
      <x:c r="C12" s="339" t="str">
        <x:v>Otro documentado</x:v>
      </x:c>
      <x:c r="D12" s="339" t="str"/>
      <x:c r="E12" s="339" t="str"/>
      <x:c r="F12" s="339" t="str">
        <x:v>G</x:v>
      </x:c>
      <x:c r="G12" s="257"/>
      <x:c r="H12" s="337"/>
      <x:c r="I12" s="337"/>
      <x:c r="J12" s="337" t="str">
        <x:v>Otro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18" hidden="0" customWidth="1"/>
    <x:col min="4" max="4" width="17" hidden="0" customWidth="1"/>
    <x:col min="5" max="5" width="55" hidden="0" customWidth="1"/>
    <x:col min="6" max="6" width="55" hidden="0" customWidth="1"/>
  </x:cols>
  <x:sheetData>
    <x:row r="1" ht="38" customHeight="1">
      <x:c r="A1" s="255" t="str">
        <x:v>Diccionario de datos</x:v>
      </x:c>
      <x:c r="B1" s="255" t="str">
        <x:v>Diccionario de datos</x:v>
      </x:c>
      <x:c r="C1" s="255" t="str">
        <x:v>Diccionario de datos</x:v>
      </x:c>
      <x:c r="D1" s="255" t="str">
        <x:v>Diccionario de datos</x:v>
      </x:c>
      <x:c r="E1" s="255" t="str">
        <x:v>Diccionario de datos</x:v>
      </x:c>
      <x:c r="F1" s="255" t="str">
        <x:v>Diccionario de datos</x:v>
      </x:c>
    </x:row>
    <x:row r="2" ht="32" customHeight="1">
      <x:c r="A2" s="256" t="str">
        <x:v>Explica cada campo que la aplicación lee desde este libro.</x:v>
      </x:c>
      <x:c r="B2" s="256" t="str">
        <x:v>Explica cada campo que la aplicación lee desde este libro.</x:v>
      </x:c>
      <x:c r="C2" s="256" t="str">
        <x:v>Explica cada campo que la aplicación lee desde este libro.</x:v>
      </x:c>
      <x:c r="D2" s="256" t="str">
        <x:v>Explica cada campo que la aplicación lee desde este libro.</x:v>
      </x:c>
      <x:c r="E2" s="256" t="str">
        <x:v>Explica cada campo que la aplicación lee desde este libro.</x:v>
      </x:c>
      <x:c r="F2" s="256" t="str">
        <x:v>Explica cada campo que la aplicación lee desde este libro.</x:v>
      </x:c>
    </x:row>
    <x:row r="3">
      <x:c r="A3" s="257"/>
      <x:c r="B3" s="257"/>
      <x:c r="C3" s="257"/>
      <x:c r="D3" s="257"/>
      <x:c r="E3" s="257"/>
      <x:c r="F3" s="257"/>
    </x:row>
    <x:row r="4" ht="34" customHeight="1">
      <x:c r="A4" s="306" t="str">
        <x:v>HOJA</x:v>
      </x:c>
      <x:c r="B4" s="307" t="str">
        <x:v>CAMPO</x:v>
      </x:c>
      <x:c r="C4" s="307" t="str">
        <x:v>TIPO</x:v>
      </x:c>
      <x:c r="D4" s="307" t="str">
        <x:v>OBLIGATORIO</x:v>
      </x:c>
      <x:c r="E4" s="307" t="str">
        <x:v>QUÉ DEBE INGRESAR</x:v>
      </x:c>
      <x:c r="F4" s="308" t="str">
        <x:v>FUNCIÓN EN EL CÁLCULO</x:v>
      </x:c>
    </x:row>
    <x:row r="5" ht="42" customHeight="1">
      <x:c r="A5" s="340" t="str">
        <x:v>CONFIGURACION</x:v>
      </x:c>
      <x:c r="B5" s="340" t="str">
        <x:v>moneda_modelo</x:v>
      </x:c>
      <x:c r="C5" s="291" t="str">
        <x:v>Texto</x:v>
      </x:c>
      <x:c r="D5" s="291" t="str">
        <x:v>Sí</x:v>
      </x:c>
      <x:c r="E5" s="291" t="str">
        <x:v>Moneda final del análisis (p. ej., USD o CRC).</x:v>
      </x:c>
      <x:c r="F5" s="291" t="str">
        <x:v>Etiqueta monetaria de todos los resultados.</x:v>
      </x:c>
    </x:row>
    <x:row r="6" ht="42" customHeight="1">
      <x:c r="A6" s="341" t="str">
        <x:v>CONFIGURACION</x:v>
      </x:c>
      <x:c r="B6" s="341" t="str">
        <x:v>anio_base</x:v>
      </x:c>
      <x:c r="C6" s="293" t="str">
        <x:v>Entero</x:v>
      </x:c>
      <x:c r="D6" s="293" t="str">
        <x:v>Sí</x:v>
      </x:c>
      <x:c r="E6" s="293" t="str">
        <x:v>Año común de precios.</x:v>
      </x:c>
      <x:c r="F6" s="293" t="str">
        <x:v>Referencia para normalizar valores monetarios.</x:v>
      </x:c>
    </x:row>
    <x:row r="7" ht="42" customHeight="1">
      <x:c r="A7" s="341" t="str">
        <x:v>CONFIGURACION</x:v>
      </x:c>
      <x:c r="B7" s="341" t="str">
        <x:v>tasa_descuento_baja/central/alta</x:v>
      </x:c>
      <x:c r="C7" s="293" t="str">
        <x:v>Porcentaje</x:v>
      </x:c>
      <x:c r="D7" s="293" t="str">
        <x:v>Sí</x:v>
      </x:c>
      <x:c r="E7" s="293" t="str">
        <x:v>Tasa anual de cada escenario.</x:v>
      </x:c>
      <x:c r="F7" s="293" t="str">
        <x:v>Convierte flujos futuros a valor presente.</x:v>
      </x:c>
    </x:row>
    <x:row r="8" ht="42" customHeight="1">
      <x:c r="A8" s="341" t="str">
        <x:v>CONFIGURACION</x:v>
      </x:c>
      <x:c r="B8" s="341" t="str">
        <x:v>horizonte_maximo_anios</x:v>
      </x:c>
      <x:c r="C8" s="293" t="str">
        <x:v>Entero</x:v>
      </x:c>
      <x:c r="D8" s="293" t="str">
        <x:v>Sí</x:v>
      </x:c>
      <x:c r="E8" s="293" t="str">
        <x:v>Máximo de años permitido.</x:v>
      </x:c>
      <x:c r="F8" s="293" t="str">
        <x:v>Evita proyecciones abiertas o accidentales.</x:v>
      </x:c>
    </x:row>
    <x:row r="9" ht="42" customHeight="1">
      <x:c r="A9" s="341" t="str">
        <x:v>VALORES_ESVD</x:v>
      </x:c>
      <x:c r="B9" s="341" t="str">
        <x:v>ID_PARAMETRO</x:v>
      </x:c>
      <x:c r="C9" s="293" t="str">
        <x:v>Texto único</x:v>
      </x:c>
      <x:c r="D9" s="293" t="str">
        <x:v>Sí</x:v>
      </x:c>
      <x:c r="E9" s="293" t="str">
        <x:v>Código estable, p. ej. ESVD-001.</x:v>
      </x:c>
      <x:c r="F9" s="293" t="str">
        <x:v>Identifica el valor seleccionado por la app.</x:v>
      </x:c>
    </x:row>
    <x:row r="10" ht="42" customHeight="1">
      <x:c r="A10" s="341" t="str">
        <x:v>VALORES_ESVD</x:v>
      </x:c>
      <x:c r="B10" s="341" t="str">
        <x:v>SERVICIO_ECOSISTEMICO</x:v>
      </x:c>
      <x:c r="C10" s="293" t="str">
        <x:v>Texto</x:v>
      </x:c>
      <x:c r="D10" s="293" t="str">
        <x:v>Sí</x:v>
      </x:c>
      <x:c r="E10" s="293" t="str">
        <x:v>Servicio final valorado, no solo una función ecológica.</x:v>
      </x:c>
      <x:c r="F10" s="293" t="str">
        <x:v>Etiqueta y filtro del valor unitario.</x:v>
      </x:c>
    </x:row>
    <x:row r="11" ht="42" customHeight="1">
      <x:c r="A11" s="341" t="str">
        <x:v>VALORES_ESVD</x:v>
      </x:c>
      <x:c r="B11" s="341" t="str">
        <x:v>ECOSISTEMA</x:v>
      </x:c>
      <x:c r="C11" s="293" t="str">
        <x:v>Texto</x:v>
      </x:c>
      <x:c r="D11" s="293" t="str">
        <x:v>Sí</x:v>
      </x:c>
      <x:c r="E11" s="293" t="str">
        <x:v>Ecosistema del estudio fuente.</x:v>
      </x:c>
      <x:c r="F11" s="293" t="str">
        <x:v>Evalúa comparabilidad con el sitio afectado.</x:v>
      </x:c>
    </x:row>
    <x:row r="12" ht="42" customHeight="1">
      <x:c r="A12" s="341" t="str">
        <x:v>VALORES_ESVD</x:v>
      </x:c>
      <x:c r="B12" s="341" t="str">
        <x:v>PAIS_REGION</x:v>
      </x:c>
      <x:c r="C12" s="293" t="str">
        <x:v>Texto</x:v>
      </x:c>
      <x:c r="D12" s="293" t="str">
        <x:v>Recomendado</x:v>
      </x:c>
      <x:c r="E12" s="293" t="str">
        <x:v>Área geográfica del estudio.</x:v>
      </x:c>
      <x:c r="F12" s="293" t="str">
        <x:v>Apoya la transferencia espacial.</x:v>
      </x:c>
    </x:row>
    <x:row r="13" ht="42" customHeight="1">
      <x:c r="A13" s="341" t="str">
        <x:v>VALORES_ESVD</x:v>
      </x:c>
      <x:c r="B13" s="341" t="str">
        <x:v>ANIO_ESTUDIO</x:v>
      </x:c>
      <x:c r="C13" s="293" t="str">
        <x:v>Entero</x:v>
      </x:c>
      <x:c r="D13" s="293" t="str">
        <x:v>Recomendado</x:v>
      </x:c>
      <x:c r="E13" s="293" t="str">
        <x:v>Año de los precios o del estudio.</x:v>
      </x:c>
      <x:c r="F13" s="293" t="str">
        <x:v>Trazabilidad temporal.</x:v>
      </x:c>
    </x:row>
    <x:row r="14" ht="42" customHeight="1">
      <x:c r="A14" s="341" t="str">
        <x:v>VALORES_ESVD</x:v>
      </x:c>
      <x:c r="B14" s="341" t="str">
        <x:v>MONEDA_ORIGINAL</x:v>
      </x:c>
      <x:c r="C14" s="293" t="str">
        <x:v>Texto</x:v>
      </x:c>
      <x:c r="D14" s="293" t="str">
        <x:v>Sí</x:v>
      </x:c>
      <x:c r="E14" s="293" t="str">
        <x:v>Moneda del valor publicado.</x:v>
      </x:c>
      <x:c r="F14" s="293" t="str">
        <x:v>Base de la conversión monetaria.</x:v>
      </x:c>
    </x:row>
    <x:row r="15" ht="42" customHeight="1">
      <x:c r="A15" s="341" t="str">
        <x:v>VALORES_ESVD</x:v>
      </x:c>
      <x:c r="B15" s="341" t="str">
        <x:v>UNIDAD_BASE</x:v>
      </x:c>
      <x:c r="C15" s="293" t="str">
        <x:v>Texto</x:v>
      </x:c>
      <x:c r="D15" s="293" t="str">
        <x:v>Sí</x:v>
      </x:c>
      <x:c r="E15" s="293" t="str">
        <x:v>Unidad exacta, p. ej. USD/ha/año.</x:v>
      </x:c>
      <x:c r="F15" s="293" t="str">
        <x:v>Debe coincidir con las unidades afectadas introducidas en la app.</x:v>
      </x:c>
    </x:row>
    <x:row r="16" ht="42" customHeight="1">
      <x:c r="A16" s="341" t="str">
        <x:v>VALORES_ESVD</x:v>
      </x:c>
      <x:c r="B16" s="341" t="str">
        <x:v>VALOR_*_ORIGINAL</x:v>
      </x:c>
      <x:c r="C16" s="293" t="str">
        <x:v>Número</x:v>
      </x:c>
      <x:c r="D16" s="293" t="str">
        <x:v>Sí</x:v>
      </x:c>
      <x:c r="E16" s="293" t="str">
        <x:v>Rango bajo, central y alto publicado o construido.</x:v>
      </x:c>
      <x:c r="F16" s="293" t="str">
        <x:v>Valor unitario antes de normalización.</x:v>
      </x:c>
    </x:row>
    <x:row r="17" ht="42" customHeight="1">
      <x:c r="A17" s="341" t="str">
        <x:v>VALORES_ESVD</x:v>
      </x:c>
      <x:c r="B17" s="341" t="str">
        <x:v>METODO_VALORACION</x:v>
      </x:c>
      <x:c r="C17" s="293" t="str">
        <x:v>Lista</x:v>
      </x:c>
      <x:c r="D17" s="293" t="str">
        <x:v>Sí</x:v>
      </x:c>
      <x:c r="E17" s="293" t="str">
        <x:v>Método empleado por el estudio.</x:v>
      </x:c>
      <x:c r="F17" s="293" t="str">
        <x:v>Trazabilidad y evaluación de solapamientos.</x:v>
      </x:c>
    </x:row>
    <x:row r="18" ht="42" customHeight="1">
      <x:c r="A18" s="341" t="str">
        <x:v>VALORES_ESVD</x:v>
      </x:c>
      <x:c r="B18" s="341" t="str">
        <x:v>BENEFICIARIOS</x:v>
      </x:c>
      <x:c r="C18" s="293" t="str">
        <x:v>Texto</x:v>
      </x:c>
      <x:c r="D18" s="293" t="str">
        <x:v>Sí</x:v>
      </x:c>
      <x:c r="E18" s="293" t="str">
        <x:v>Personas o grupos que reciben el servicio.</x:v>
      </x:c>
      <x:c r="F18" s="293" t="str">
        <x:v>Completa la cadena causal de la pérdida.</x:v>
      </x:c>
    </x:row>
    <x:row r="19" ht="42" customHeight="1">
      <x:c r="A19" s="341" t="str">
        <x:v>VALORES_ESVD</x:v>
      </x:c>
      <x:c r="B19" s="341" t="str">
        <x:v>FACTOR_CONVERSION_MONEDA</x:v>
      </x:c>
      <x:c r="C19" s="293" t="str">
        <x:v>Número &gt; 0</x:v>
      </x:c>
      <x:c r="D19" s="293" t="str">
        <x:v>Sí</x:v>
      </x:c>
      <x:c r="E19" s="293" t="str">
        <x:v>Multiplicador hacia la moneda del modelo.</x:v>
      </x:c>
      <x:c r="F19" s="293" t="str">
        <x:v>Primera etapa de normalización.</x:v>
      </x:c>
    </x:row>
    <x:row r="20" ht="42" customHeight="1">
      <x:c r="A20" s="341" t="str">
        <x:v>VALORES_ESVD</x:v>
      </x:c>
      <x:c r="B20" s="341" t="str">
        <x:v>FACTOR_ANIO_PRECIOS</x:v>
      </x:c>
      <x:c r="C20" s="293" t="str">
        <x:v>Número &gt; 0</x:v>
      </x:c>
      <x:c r="D20" s="293" t="str">
        <x:v>Sí</x:v>
      </x:c>
      <x:c r="E20" s="293" t="str">
        <x:v>Multiplicador para actualizar precios al año base.</x:v>
      </x:c>
      <x:c r="F20" s="293" t="str">
        <x:v>Segunda etapa de normalización.</x:v>
      </x:c>
    </x:row>
    <x:row r="21" ht="42" customHeight="1">
      <x:c r="A21" s="341" t="str">
        <x:v>VALORES_ESVD</x:v>
      </x:c>
      <x:c r="B21" s="341" t="str">
        <x:v>FACTOR_TRANSFERENCIA_VALIDADO</x:v>
      </x:c>
      <x:c r="C21" s="293" t="str">
        <x:v>Número &gt; 0</x:v>
      </x:c>
      <x:c r="D21" s="293" t="str">
        <x:v>Sí</x:v>
      </x:c>
      <x:c r="E21" s="293" t="str">
        <x:v>Ajuste documentado de transferencia.</x:v>
      </x:c>
      <x:c r="F21" s="293" t="str">
        <x:v>Tercera etapa; no debe ser arbitraria.</x:v>
      </x:c>
    </x:row>
    <x:row r="22" ht="42" customHeight="1">
      <x:c r="A22" s="341" t="str">
        <x:v>VALORES_ESVD</x:v>
      </x:c>
      <x:c r="B22" s="341" t="str">
        <x:v>VALOR_*_NORMALIZADO</x:v>
      </x:c>
      <x:c r="C22" s="293" t="str">
        <x:v>Fórmula</x:v>
      </x:c>
      <x:c r="D22" s="293" t="str">
        <x:v>Automático</x:v>
      </x:c>
      <x:c r="E22" s="293" t="str">
        <x:v>No editar.</x:v>
      </x:c>
      <x:c r="F22" s="293" t="str">
        <x:v>Valor original x tres factores.</x:v>
      </x:c>
    </x:row>
    <x:row r="23" ht="42" customHeight="1">
      <x:c r="A23" s="341" t="str">
        <x:v>VALORES_ESVD</x:v>
      </x:c>
      <x:c r="B23" s="341" t="str">
        <x:v>NIVEL_EVIDENCIA</x:v>
      </x:c>
      <x:c r="C23" s="293" t="str">
        <x:v>Lista A/B/C/D/X</x:v>
      </x:c>
      <x:c r="D23" s="293" t="str">
        <x:v>Sí</x:v>
      </x:c>
      <x:c r="E23" s="293" t="str">
        <x:v>Fuerza de la evidencia.</x:v>
      </x:c>
      <x:c r="F23" s="293" t="str">
        <x:v>A/B puede entrar al central; C/D solo exploratorio; X excluido.</x:v>
      </x:c>
    </x:row>
    <x:row r="24" ht="42" customHeight="1">
      <x:c r="A24" s="341" t="str">
        <x:v>VALORES_ESVD</x:v>
      </x:c>
      <x:c r="B24" s="341" t="str">
        <x:v>COMPARABILIDAD</x:v>
      </x:c>
      <x:c r="C24" s="293" t="str">
        <x:v>Alta/Media/Baja</x:v>
      </x:c>
      <x:c r="D24" s="293" t="str">
        <x:v>Sí</x:v>
      </x:c>
      <x:c r="E24" s="293" t="str">
        <x:v>Juicio documentado sobre similitud.</x:v>
      </x:c>
      <x:c r="F24" s="293" t="str">
        <x:v>Baja obliga a tratar el parámetro como exploratorio.</x:v>
      </x:c>
    </x:row>
    <x:row r="25" ht="42" customHeight="1">
      <x:c r="A25" s="341" t="str">
        <x:v>VALORES_ESVD</x:v>
      </x:c>
      <x:c r="B25" s="341" t="str">
        <x:v>FUENTE_URL_CITA</x:v>
      </x:c>
      <x:c r="C25" s="293" t="str">
        <x:v>Texto</x:v>
      </x:c>
      <x:c r="D25" s="293" t="str">
        <x:v>Sí</x:v>
      </x:c>
      <x:c r="E25" s="293" t="str">
        <x:v>URL persistente, DOI o cita completa.</x:v>
      </x:c>
      <x:c r="F25" s="293" t="str">
        <x:v>Permite auditoría y verificación.</x:v>
      </x:c>
    </x:row>
    <x:row r="26" ht="42" customHeight="1">
      <x:c r="A26" s="341" t="str">
        <x:v>VALORES_ESVD</x:v>
      </x:c>
      <x:c r="B26" s="341" t="str">
        <x:v>NOTAS_TRANSFERENCIA</x:v>
      </x:c>
      <x:c r="C26" s="293" t="str">
        <x:v>Texto</x:v>
      </x:c>
      <x:c r="D26" s="293" t="str">
        <x:v>Sí</x:v>
      </x:c>
      <x:c r="E26" s="293" t="str">
        <x:v>Justificación de unidad, beneficiarios y factores.</x:v>
      </x:c>
      <x:c r="F26" s="293" t="str">
        <x:v>Explica por qué el parámetro es aplicable.</x:v>
      </x:c>
    </x:row>
    <x:row r="27" ht="42" customHeight="1">
      <x:c r="A27" s="342" t="str">
        <x:v>VALORES_ESVD</x:v>
      </x:c>
      <x:c r="B27" s="342" t="str">
        <x:v>ESTADO_PARAMETRO</x:v>
      </x:c>
      <x:c r="C27" s="343" t="str">
        <x:v>Fórmula</x:v>
      </x:c>
      <x:c r="D27" s="343" t="str">
        <x:v>Automático</x:v>
      </x:c>
      <x:c r="E27" s="343" t="str">
        <x:v>No editar.</x:v>
      </x:c>
      <x:c r="F27" s="343" t="str">
        <x:v>Indica LISTO, INCOMPLETO, EXPLORATORIO, EXCLUIDO o REVISAR FACTORES.</x:v>
      </x:c>
    </x:row>
    <x:row r="28">
      <x:c r="A28" s="344" t="str">
        <x:v>VALORES_ESVD</x:v>
      </x:c>
      <x:c r="B28" s="344" t="str">
        <x:v>UNIDADES_AFECTADAS_DEMO</x:v>
      </x:c>
      <x:c r="C28" s="344" t="str">
        <x:v>Número &gt;= 0</x:v>
      </x:c>
      <x:c r="D28" s="344" t="str">
        <x:v>No</x:v>
      </x:c>
      <x:c r="E28" s="344" t="str">
        <x:v>Cantidad sugerida para el ejemplo.</x:v>
      </x:c>
      <x:c r="F28" s="344" t="str">
        <x:v>Se copia al añadir el servicio; la persona usuaria puede cambiarla.</x:v>
      </x:c>
    </x:row>
    <x:row r="29">
      <x:c r="A29" s="345" t="str">
        <x:v>VALORES_ESVD</x:v>
      </x:c>
      <x:c r="B29" s="345" t="str">
        <x:v>PERDIDA_INICIAL_*_DEMO</x:v>
      </x:c>
      <x:c r="C29" s="345" t="str">
        <x:v>Porcentaje 0-100%</x:v>
      </x:c>
      <x:c r="D29" s="345" t="str">
        <x:v>No</x:v>
      </x:c>
      <x:c r="E29" s="345" t="str">
        <x:v>Pérdida sugerida por escenario.</x:v>
      </x:c>
      <x:c r="F29" s="345" t="str">
        <x:v>Permite que el parámetro produzca un resultado visible al seleccionarlo.</x:v>
      </x:c>
    </x:row>
    <x:row r="30">
      <x:c r="A30" s="344" t="str">
        <x:v>VALORES_ESVD</x:v>
      </x:c>
      <x:c r="B30" s="344" t="str">
        <x:v>RECUPERACION_*_DEMO</x:v>
      </x:c>
      <x:c r="C30" s="344" t="str">
        <x:v>Entero &gt;= 0</x:v>
      </x:c>
      <x:c r="D30" s="344" t="str">
        <x:v>No</x:v>
      </x:c>
      <x:c r="E30" s="344" t="str">
        <x:v>Años sugeridos por escenario.</x:v>
      </x:c>
      <x:c r="F30" s="344" t="str">
        <x:v>Define la duración ficticia del flujo perdido.</x:v>
      </x:c>
    </x:row>
    <x:row r="31">
      <x:c r="A31" s="345" t="str">
        <x:v>ESPECIES_REFERENCIA</x:v>
      </x:c>
      <x:c r="B31" s="345" t="str">
        <x:v>ID_REFERENCIA</x:v>
      </x:c>
      <x:c r="C31" s="345" t="str">
        <x:v>Texto único</x:v>
      </x:c>
      <x:c r="D31" s="345" t="str">
        <x:v>Sí</x:v>
      </x:c>
      <x:c r="E31" s="345" t="str">
        <x:v>Código de la referencia ficticia.</x:v>
      </x:c>
      <x:c r="F31" s="345" t="str">
        <x:v>Identifica la opción seleccionada por la app.</x:v>
      </x:c>
    </x:row>
    <x:row r="32">
      <x:c r="A32" s="344" t="str">
        <x:v>ESPECIES_REFERENCIA</x:v>
      </x:c>
      <x:c r="B32" s="344" t="str">
        <x:v>ESPECIE_GRUPO</x:v>
      </x:c>
      <x:c r="C32" s="344" t="str">
        <x:v>Texto</x:v>
      </x:c>
      <x:c r="D32" s="344" t="str">
        <x:v>Sí</x:v>
      </x:c>
      <x:c r="E32" s="344" t="str">
        <x:v>Nombre genérico de la especie.</x:v>
      </x:c>
      <x:c r="F32" s="344" t="str">
        <x:v>Llena el inventario de vida silvestre.</x:v>
      </x:c>
    </x:row>
    <x:row r="33">
      <x:c r="A33" s="345" t="str">
        <x:v>ESPECIES_REFERENCIA</x:v>
      </x:c>
      <x:c r="B33" s="345" t="str">
        <x:v>TIPO_AFECTACION</x:v>
      </x:c>
      <x:c r="C33" s="345" t="str">
        <x:v>Lista</x:v>
      </x:c>
      <x:c r="D33" s="345" t="str">
        <x:v>Sí</x:v>
      </x:c>
      <x:c r="E33" s="345" t="str">
        <x:v>Tipo de daño asociado al ejemplo.</x:v>
      </x:c>
      <x:c r="F33" s="345" t="str">
        <x:v>Describe el daño y etiqueta la línea monetaria de Cuenta A.</x:v>
      </x:c>
    </x:row>
    <x:row r="34">
      <x:c r="A34" s="344" t="str">
        <x:v>ESPECIES_REFERENCIA</x:v>
      </x:c>
      <x:c r="B34" s="344" t="str">
        <x:v>FUNCION_ECOLOGICA</x:v>
      </x:c>
      <x:c r="C34" s="344" t="str">
        <x:v>Texto</x:v>
      </x:c>
      <x:c r="D34" s="344" t="str">
        <x:v>Sí</x:v>
      </x:c>
      <x:c r="E34" s="344" t="str">
        <x:v>Función ecológica ficticia.</x:v>
      </x:c>
      <x:c r="F34" s="344" t="str">
        <x:v>Conserva el vínculo causal no monetario.</x:v>
      </x:c>
    </x:row>
    <x:row r="35">
      <x:c r="A35" s="345" t="str">
        <x:v>ESPECIES_REFERENCIA</x:v>
      </x:c>
      <x:c r="B35" s="345" t="str">
        <x:v>UNIDAD</x:v>
      </x:c>
      <x:c r="C35" s="345" t="str">
        <x:v>Texto</x:v>
      </x:c>
      <x:c r="D35" s="345" t="str">
        <x:v>Sí</x:v>
      </x:c>
      <x:c r="E35" s="345" t="str">
        <x:v>Unidad compatible con cantidad.</x:v>
      </x:c>
      <x:c r="F35" s="345" t="str">
        <x:v>Da significado a la multiplicación cantidad por valor unitario.</x:v>
      </x:c>
    </x:row>
    <x:row r="36">
      <x:c r="A36" s="344" t="str">
        <x:v>ESPECIES_REFERENCIA</x:v>
      </x:c>
      <x:c r="B36" s="344" t="str">
        <x:v>VALOR_*_USD</x:v>
      </x:c>
      <x:c r="C36" s="344" t="str">
        <x:v>Número &gt;= 0</x:v>
      </x:c>
      <x:c r="D36" s="344" t="str">
        <x:v>Sí</x:v>
      </x:c>
      <x:c r="E36" s="344" t="str">
        <x:v>Rango unitario ficticio.</x:v>
      </x:c>
      <x:c r="F36" s="344" t="str">
        <x:v>Autocompleta el rango de Cuenta A.</x:v>
      </x:c>
    </x:row>
    <x:row r="37">
      <x:c r="A37" s="345" t="str">
        <x:v>ESPECIES_REFERENCIA</x:v>
      </x:c>
      <x:c r="B37" s="345" t="str">
        <x:v>NIVEL_EVIDENCIA</x:v>
      </x:c>
      <x:c r="C37" s="345" t="str">
        <x:v>Lista A/B/C/D/X</x:v>
      </x:c>
      <x:c r="D37" s="345" t="str">
        <x:v>Sí</x:v>
      </x:c>
      <x:c r="E37" s="345" t="str">
        <x:v>Nivel ficticio del registro.</x:v>
      </x:c>
      <x:c r="F37" s="345" t="str">
        <x:v>A/B principal; C/D exploratorio; X excluido.</x:v>
      </x:c>
    </x:row>
    <x:row r="38">
      <x:c r="A38" s="344" t="str">
        <x:v>COSTOS_REFERENCIA</x:v>
      </x:c>
      <x:c r="B38" s="344" t="str">
        <x:v>ID_REFERENCIA</x:v>
      </x:c>
      <x:c r="C38" s="344" t="str">
        <x:v>Texto único</x:v>
      </x:c>
      <x:c r="D38" s="344" t="str">
        <x:v>Sí</x:v>
      </x:c>
      <x:c r="E38" s="344" t="str">
        <x:v>Código de la acción ficticia.</x:v>
      </x:c>
      <x:c r="F38" s="344" t="str">
        <x:v>Identifica el costo seleccionado por la app.</x:v>
      </x:c>
    </x:row>
    <x:row r="39">
      <x:c r="A39" s="345" t="str">
        <x:v>COSTOS_REFERENCIA</x:v>
      </x:c>
      <x:c r="B39" s="345" t="str">
        <x:v>CUENTA</x:v>
      </x:c>
      <x:c r="C39" s="345" t="str">
        <x:v>Lista A/C/D/E/R</x:v>
      </x:c>
      <x:c r="D39" s="345" t="str">
        <x:v>Sí</x:v>
      </x:c>
      <x:c r="E39" s="345" t="str">
        <x:v>Cuenta a la que pertenece.</x:v>
      </x:c>
      <x:c r="F39" s="345" t="str">
        <x:v>Clasifica automáticamente el costo.</x:v>
      </x:c>
    </x:row>
    <x:row r="40">
      <x:c r="A40" s="344" t="str">
        <x:v>COSTOS_REFERENCIA</x:v>
      </x:c>
      <x:c r="B40" s="344" t="str">
        <x:v>CONCEPTO</x:v>
      </x:c>
      <x:c r="C40" s="344" t="str">
        <x:v>Texto</x:v>
      </x:c>
      <x:c r="D40" s="344" t="str">
        <x:v>Sí</x:v>
      </x:c>
      <x:c r="E40" s="344" t="str">
        <x:v>Actividad o efecto ficticio.</x:v>
      </x:c>
      <x:c r="F40" s="344" t="str">
        <x:v>Etiqueta el detalle calculado.</x:v>
      </x:c>
    </x:row>
    <x:row r="41">
      <x:c r="A41" s="345" t="str">
        <x:v>COSTOS_REFERENCIA</x:v>
      </x:c>
      <x:c r="B41" s="345" t="str">
        <x:v>CANTIDAD_*_DEMO</x:v>
      </x:c>
      <x:c r="C41" s="345" t="str">
        <x:v>Número &gt;= 0</x:v>
      </x:c>
      <x:c r="D41" s="345" t="str">
        <x:v>Sí</x:v>
      </x:c>
      <x:c r="E41" s="345" t="str">
        <x:v>Cantidades sugeridas.</x:v>
      </x:c>
      <x:c r="F41" s="345" t="str">
        <x:v>Autocompleta el rango de cantidad.</x:v>
      </x:c>
    </x:row>
    <x:row r="42">
      <x:c r="A42" s="344" t="str">
        <x:v>COSTOS_REFERENCIA</x:v>
      </x:c>
      <x:c r="B42" s="344" t="str">
        <x:v>COSTO_UNITARIO_*_USD</x:v>
      </x:c>
      <x:c r="C42" s="344" t="str">
        <x:v>Número &gt;= 0</x:v>
      </x:c>
      <x:c r="D42" s="344" t="str">
        <x:v>Sí</x:v>
      </x:c>
      <x:c r="E42" s="344" t="str">
        <x:v>Rango unitario ficticio.</x:v>
      </x:c>
      <x:c r="F42" s="344" t="str">
        <x:v>Autocompleta el costo en USD.</x:v>
      </x:c>
    </x:row>
    <x:row r="43">
      <x:c r="A43" s="345" t="str">
        <x:v>COSTOS_REFERENCIA</x:v>
      </x:c>
      <x:c r="B43" s="345" t="str">
        <x:v>FUENTE_DEMO</x:v>
      </x:c>
      <x:c r="C43" s="345" t="str">
        <x:v>Texto</x:v>
      </x:c>
      <x:c r="D43" s="345" t="str">
        <x:v>Sí</x:v>
      </x:c>
      <x:c r="E43" s="345" t="str">
        <x:v>Indica que el dato es ficticio.</x:v>
      </x:c>
      <x:c r="F43" s="345" t="str">
        <x:v>Evita confundir la demostración con una fuente verificable.</x:v>
      </x:c>
    </x:row>
    <x:row r="44">
      <x:c r="A44" s="404" t="str">
        <x:v>ESPECIES_REFERENCIA</x:v>
      </x:c>
      <x:c r="B44" s="404" t="str">
        <x:v>CUENTA</x:v>
      </x:c>
      <x:c r="C44" s="404" t="str">
        <x:v>Lista A1/A2</x:v>
      </x:c>
      <x:c r="D44" s="404" t="str">
        <x:v>Sí</x:v>
      </x:c>
      <x:c r="E44" s="404" t="str">
        <x:v>A1 para pérdida biofísica; A2 para pérdida irreversible.</x:v>
      </x:c>
      <x:c r="F44" s="404" t="str">
        <x:v>Clasifica la línea monetaria de especie.</x:v>
      </x:c>
    </x:row>
    <x:row r="45">
      <x:c r="A45" s="406" t="str">
        <x:v>ESPECIES_REFERENCIA</x:v>
      </x:c>
      <x:c r="B45" s="406" t="str">
        <x:v>TIPO_FUENTE</x:v>
      </x:c>
      <x:c r="C45" s="406" t="str">
        <x:v>Lista</x:v>
      </x:c>
      <x:c r="D45" s="406" t="str">
        <x:v>Sí</x:v>
      </x:c>
      <x:c r="E45" s="406" t="str">
        <x:v>Base histórica, estudio local u otra fuente.</x:v>
      </x:c>
      <x:c r="F45" s="406" t="str">
        <x:v>Describe el origen del parámetro.</x:v>
      </x:c>
    </x:row>
    <x:row r="46">
      <x:c r="A46" s="404" t="str">
        <x:v>ESPECIES_REFERENCIA</x:v>
      </x:c>
      <x:c r="B46" s="404" t="str">
        <x:v>ESTADO_DATO_PREDETERMINADO</x:v>
      </x:c>
      <x:c r="C46" s="404" t="str">
        <x:v>Observado/Estimado</x:v>
      </x:c>
      <x:c r="D46" s="404" t="str">
        <x:v>Sí</x:v>
      </x:c>
      <x:c r="E46" s="404" t="str">
        <x:v>Normalmente Estimado para una referencia.</x:v>
      </x:c>
      <x:c r="F46" s="404" t="str">
        <x:v>Separa hechos de proyecciones.</x:v>
      </x:c>
    </x:row>
    <x:row r="47">
      <x:c r="A47" s="406" t="str">
        <x:v>ESPECIES_REFERENCIA</x:v>
      </x:c>
      <x:c r="B47" s="406" t="str">
        <x:v>N_CASOS</x:v>
      </x:c>
      <x:c r="C47" s="406" t="str">
        <x:v>Entero</x:v>
      </x:c>
      <x:c r="D47" s="406" t="str">
        <x:v>Recomendado</x:v>
      </x:c>
      <x:c r="E47" s="406" t="str">
        <x:v>Número de casos comparables.</x:v>
      </x:c>
      <x:c r="F47" s="406" t="str">
        <x:v>Parte del pedigrí histórico.</x:v>
      </x:c>
    </x:row>
    <x:row r="48">
      <x:c r="A48" s="404" t="str">
        <x:v>ESPECIES_REFERENCIA</x:v>
      </x:c>
      <x:c r="B48" s="404" t="str">
        <x:v>ESTADISTICO</x:v>
      </x:c>
      <x:c r="C48" s="404" t="str">
        <x:v>Texto</x:v>
      </x:c>
      <x:c r="D48" s="404" t="str">
        <x:v>Recomendado</x:v>
      </x:c>
      <x:c r="E48" s="404" t="str">
        <x:v>Mediana, media, rango u otro.</x:v>
      </x:c>
      <x:c r="F48" s="404" t="str">
        <x:v>Explica cómo se obtuvo el valor.</x:v>
      </x:c>
    </x:row>
    <x:row r="49">
      <x:c r="A49" s="406" t="str">
        <x:v>ESPECIES_REFERENCIA</x:v>
      </x:c>
      <x:c r="B49" s="406" t="str">
        <x:v>PERIODO_REFERENCIA</x:v>
      </x:c>
      <x:c r="C49" s="406" t="str">
        <x:v>Texto</x:v>
      </x:c>
      <x:c r="D49" s="406" t="str">
        <x:v>Recomendado</x:v>
      </x:c>
      <x:c r="E49" s="406" t="str">
        <x:v>Años cubiertos por la referencia.</x:v>
      </x:c>
      <x:c r="F49" s="406" t="str">
        <x:v>Trazabilidad temporal.</x:v>
      </x:c>
    </x:row>
    <x:row r="50">
      <x:c r="A50" s="404" t="str">
        <x:v>COSTOS_REFERENCIA</x:v>
      </x:c>
      <x:c r="B50" s="404" t="str">
        <x:v>TIPO_FUENTE</x:v>
      </x:c>
      <x:c r="C50" s="404" t="str">
        <x:v>Lista</x:v>
      </x:c>
      <x:c r="D50" s="404" t="str">
        <x:v>Sí</x:v>
      </x:c>
      <x:c r="E50" s="404" t="str">
        <x:v>Base histórica, estudio local u otra fuente.</x:v>
      </x:c>
      <x:c r="F50" s="404" t="str">
        <x:v>Describe el origen del costo.</x:v>
      </x:c>
    </x:row>
    <x:row r="51">
      <x:c r="A51" s="406" t="str">
        <x:v>COSTOS_REFERENCIA</x:v>
      </x:c>
      <x:c r="B51" s="406" t="str">
        <x:v>ESTADO_DATO_PREDETERMINADO</x:v>
      </x:c>
      <x:c r="C51" s="406" t="str">
        <x:v>Observado/Estimado</x:v>
      </x:c>
      <x:c r="D51" s="406" t="str">
        <x:v>Sí</x:v>
      </x:c>
      <x:c r="E51" s="406" t="str">
        <x:v>Normalmente Estimado para una referencia.</x:v>
      </x:c>
      <x:c r="F51" s="406" t="str">
        <x:v>Separa hechos de proyecciones.</x:v>
      </x:c>
    </x:row>
    <x:row r="52">
      <x:c r="A52" s="404" t="str">
        <x:v>COSTOS_REFERENCIA</x:v>
      </x:c>
      <x:c r="B52" s="404" t="str">
        <x:v>N_CASOS</x:v>
      </x:c>
      <x:c r="C52" s="404" t="str">
        <x:v>Entero</x:v>
      </x:c>
      <x:c r="D52" s="404" t="str">
        <x:v>Recomendado</x:v>
      </x:c>
      <x:c r="E52" s="404" t="str">
        <x:v>Número de casos comparables.</x:v>
      </x:c>
      <x:c r="F52" s="404" t="str">
        <x:v>Parte del pedigrí histórico.</x:v>
      </x:c>
    </x:row>
    <x:row r="53">
      <x:c r="A53" s="406" t="str">
        <x:v>COSTOS_REFERENCIA</x:v>
      </x:c>
      <x:c r="B53" s="406" t="str">
        <x:v>ESTADISTICO</x:v>
      </x:c>
      <x:c r="C53" s="406" t="str">
        <x:v>Texto</x:v>
      </x:c>
      <x:c r="D53" s="406" t="str">
        <x:v>Recomendado</x:v>
      </x:c>
      <x:c r="E53" s="406" t="str">
        <x:v>Mediana, media, rango u otro.</x:v>
      </x:c>
      <x:c r="F53" s="406" t="str">
        <x:v>Explica cómo se obtuvo el costo.</x:v>
      </x:c>
    </x:row>
    <x:row r="54">
      <x:c r="A54" s="404" t="str">
        <x:v>COSTOS_REFERENCIA</x:v>
      </x:c>
      <x:c r="B54" s="404" t="str">
        <x:v>PERIODO_REFERENCIA</x:v>
      </x:c>
      <x:c r="C54" s="404" t="str">
        <x:v>Texto</x:v>
      </x:c>
      <x:c r="D54" s="404" t="str">
        <x:v>Recomendado</x:v>
      </x:c>
      <x:c r="E54" s="404" t="str">
        <x:v>Años cubiertos por la referencia.</x:v>
      </x:c>
      <x:c r="F54" s="404" t="str">
        <x:v>Trazabilidad temporal.</x:v>
      </x:c>
    </x:row>
    <x:row r="55">
      <x:c r="A55" s="406" t="str">
        <x:v>VALORES_ESVD</x:v>
      </x:c>
      <x:c r="B55" s="406" t="str">
        <x:v>TIPO_FUENTE</x:v>
      </x:c>
      <x:c r="C55" s="406" t="str">
        <x:v>Lista</x:v>
      </x:c>
      <x:c r="D55" s="406" t="str">
        <x:v>Sí</x:v>
      </x:c>
      <x:c r="E55" s="406" t="str">
        <x:v>Transferencia de valor unitario u otro método.</x:v>
      </x:c>
      <x:c r="F55" s="406" t="str">
        <x:v>Distingue dato local de transferencia.</x:v>
      </x:c>
    </x:row>
    <x:row r="56">
      <x:c r="A56" s="404" t="str">
        <x:v>VALORES_ESVD</x:v>
      </x:c>
      <x:c r="B56" s="404" t="str">
        <x:v>N_CASOS</x:v>
      </x:c>
      <x:c r="C56" s="404" t="str">
        <x:v>Entero</x:v>
      </x:c>
      <x:c r="D56" s="404" t="str">
        <x:v>Recomendado</x:v>
      </x:c>
      <x:c r="E56" s="404" t="str">
        <x:v>Número de observaciones seleccionadas.</x:v>
      </x:c>
      <x:c r="F56" s="404" t="str">
        <x:v>Muestra el alcance de la referencia.</x:v>
      </x:c>
    </x:row>
    <x:row r="57">
      <x:c r="A57" s="406" t="str">
        <x:v>VALORES_ESVD</x:v>
      </x:c>
      <x:c r="B57" s="406" t="str">
        <x:v>ESTADISTICO</x:v>
      </x:c>
      <x:c r="C57" s="406" t="str">
        <x:v>Texto</x:v>
      </x:c>
      <x:c r="D57" s="406" t="str">
        <x:v>Recomendado</x:v>
      </x:c>
      <x:c r="E57" s="406" t="str">
        <x:v>Rango, mediana, función de transferencia.</x:v>
      </x:c>
      <x:c r="F57" s="406" t="str">
        <x:v>Explica la síntesis del valor.</x:v>
      </x:c>
    </x:row>
    <x:row r="58">
      <x:c r="A58" s="404" t="str">
        <x:v>VALORES_ESVD</x:v>
      </x:c>
      <x:c r="B58" s="404" t="str">
        <x:v>PERIODO_REFERENCIA</x:v>
      </x:c>
      <x:c r="C58" s="404" t="str">
        <x:v>Texto</x:v>
      </x:c>
      <x:c r="D58" s="404" t="str">
        <x:v>Recomendado</x:v>
      </x:c>
      <x:c r="E58" s="404" t="str">
        <x:v>Periodo de estudios y precios.</x:v>
      </x:c>
      <x:c r="F58" s="404" t="str">
        <x:v>Trazabilidad temporal.</x:v>
      </x:c>
    </x:row>
    <x:row r="59">
      <x:c r="A59" s="409" t="str">
        <x:v>CASOS_VDEP</x:v>
      </x:c>
      <x:c r="B59" s="409" t="str">
        <x:v>ID_CASO</x:v>
      </x:c>
      <x:c r="C59" s="409" t="str">
        <x:v>Texto único</x:v>
      </x:c>
      <x:c r="D59" s="409" t="str">
        <x:v>Sí</x:v>
      </x:c>
      <x:c r="E59" s="409" t="str">
        <x:v>Código estable del ejemplo aplicado.</x:v>
      </x:c>
      <x:c r="F59" s="409" t="str">
        <x:v>Vincula receptores, variables y componentes.</x:v>
      </x:c>
    </x:row>
    <x:row r="60">
      <x:c r="A60" s="409" t="str">
        <x:v>CASOS_VDEP</x:v>
      </x:c>
      <x:c r="B60" s="409" t="str">
        <x:v>TOTAL_*</x:v>
      </x:c>
      <x:c r="C60" s="409" t="str">
        <x:v>CRC</x:v>
      </x:c>
      <x:c r="D60" s="409" t="str">
        <x:v>Sí</x:v>
      </x:c>
      <x:c r="E60" s="409" t="str">
        <x:v>Total publicado bajo, central y alto.</x:v>
      </x:c>
      <x:c r="F60" s="409" t="str">
        <x:v>Control de validación del caso cargado.</x:v>
      </x:c>
    </x:row>
    <x:row r="61">
      <x:c r="A61" s="409" t="str">
        <x:v>CASOS_VDEP</x:v>
      </x:c>
      <x:c r="B61" s="409" t="str">
        <x:v>CONTROL_DOBLE_CONTEO</x:v>
      </x:c>
      <x:c r="C61" s="409" t="str">
        <x:v>Texto</x:v>
      </x:c>
      <x:c r="D61" s="409" t="str">
        <x:v>Sí</x:v>
      </x:c>
      <x:c r="E61" s="409" t="str">
        <x:v>Regla de compatibilidad del ejemplo.</x:v>
      </x:c>
      <x:c r="F61" s="409" t="str">
        <x:v>Se muestra como nota para la revisión.</x:v>
      </x:c>
    </x:row>
    <x:row r="62">
      <x:c r="A62" s="409" t="str">
        <x:v>RECEPTORES_VDEP</x:v>
      </x:c>
      <x:c r="B62" s="409" t="str">
        <x:v>CANTIDAD / UNIDAD</x:v>
      </x:c>
      <x:c r="C62" s="409" t="str">
        <x:v>Número y texto</x:v>
      </x:c>
      <x:c r="D62" s="409" t="str">
        <x:v>Sí</x:v>
      </x:c>
      <x:c r="E62" s="409" t="str">
        <x:v>Cantidad física del receptor.</x:v>
      </x:c>
      <x:c r="F62" s="409" t="str">
        <x:v>Carga el inventario no monetario.</x:v>
      </x:c>
    </x:row>
    <x:row r="63">
      <x:c r="A63" s="409" t="str">
        <x:v>VARIABLES_VDEP</x:v>
      </x:c>
      <x:c r="B63" s="409" t="str">
        <x:v>BAJO / CENTRAL / ALTO_ESTADO</x:v>
      </x:c>
      <x:c r="C63" s="409" t="str">
        <x:v>Número o texto</x:v>
      </x:c>
      <x:c r="D63" s="409" t="str">
        <x:v>Sí</x:v>
      </x:c>
      <x:c r="E63" s="409" t="str">
        <x:v>Rango biofísico o estado.</x:v>
      </x:c>
      <x:c r="F63" s="409" t="str">
        <x:v>Conserva datos que no deben forzarse a dinero.</x:v>
      </x:c>
    </x:row>
    <x:row r="64">
      <x:c r="A64" s="409" t="str">
        <x:v>COSTOS_REFERENCIA</x:v>
      </x:c>
      <x:c r="B64" s="409" t="str">
        <x:v>ID_CASO</x:v>
      </x:c>
      <x:c r="C64" s="409" t="str">
        <x:v>Texto</x:v>
      </x:c>
      <x:c r="D64" s="409" t="str">
        <x:v>Sí</x:v>
      </x:c>
      <x:c r="E64" s="409" t="str">
        <x:v>Caso al que pertenece el componente.</x:v>
      </x:c>
      <x:c r="F64" s="409" t="str">
        <x:v>Permite cargar todos los componentes del ejemplo.</x:v>
      </x:c>
    </x:row>
    <x:row r="65">
      <x:c r="A65" s="409" t="str">
        <x:v>COSTOS_REFERENCIA</x:v>
      </x:c>
      <x:c r="B65" s="409" t="str">
        <x:v>BASE_CALCULO</x:v>
      </x:c>
      <x:c r="C65" s="409" t="str">
        <x:v>Texto</x:v>
      </x:c>
      <x:c r="D65" s="409" t="str">
        <x:v>Sí</x:v>
      </x:c>
      <x:c r="E65" s="409" t="str">
        <x:v>Ecuación o fundamento publicado.</x:v>
      </x:c>
      <x:c r="F65" s="409" t="str">
        <x:v>Explica cómo se obtuvo el componente.</x:v>
      </x:c>
    </x:row>
    <x:row r="66">
      <x:c r="A66" s="409" t="str">
        <x:v>COSTOS_REFERENCIA</x:v>
      </x:c>
      <x:c r="B66" s="409" t="str">
        <x:v>COSTO_UNITARIO_*_USD</x:v>
      </x:c>
      <x:c r="C66" s="409" t="str">
        <x:v>CRC</x:v>
      </x:c>
      <x:c r="D66" s="409" t="str">
        <x:v>Sí</x:v>
      </x:c>
      <x:c r="E66" s="409" t="str">
        <x:v>Monto total del componente en el ejemplo.</x:v>
      </x:c>
      <x:c r="F66" s="409" t="str">
        <x:v>El nombre *_USD se mantiene solo por compatibilidad del código.</x:v>
      </x:c>
    </x:row>
    <x:row r="67">
      <x:c r="A67" s="409" t="str">
        <x:v>VALORES_ESVD</x:v>
      </x:c>
      <x:c r="B67" s="409" t="str">
        <x:v>PERFIL_RECUPERACION_DEMO</x:v>
      </x:c>
      <x:c r="C67" s="409" t="str">
        <x:v>Lista</x:v>
      </x:c>
      <x:c r="D67" s="409" t="str">
        <x:v>No</x:v>
      </x:c>
      <x:c r="E67" s="409" t="str">
        <x:v>Lineal, constante o inmediata.</x:v>
      </x:c>
      <x:c r="F67" s="409" t="str">
        <x:v>Precarga el perfil si se añade el parámetro manualmente.</x:v>
      </x:c>
    </x:row>
    <x:row r="68">
      <x:c r="A68" s="409" t="str">
        <x:v>Todas</x:v>
      </x:c>
      <x:c r="B68" s="409" t="str">
        <x:v>FUENTE_CITA</x:v>
      </x:c>
      <x:c r="C68" s="409" t="str">
        <x:v>Texto</x:v>
      </x:c>
      <x:c r="D68" s="409" t="str">
        <x:v>Sí</x:v>
      </x:c>
      <x:c r="E68" s="409" t="str">
        <x:v>Producto, ejemplo y páginas.</x:v>
      </x:c>
      <x:c r="F68" s="409" t="str">
        <x:v>Mantiene la trazabilidad al anexo.</x:v>
      </x:c>
    </x:row>
    <x:row r="69">
      <x:c r="A69"/>
      <x:c r="B69"/>
      <x:c r="C69"/>
      <x:c r="D69"/>
      <x:c r="E69"/>
      <x:c r="F69"/>
    </x:row>
    <x:row r="70">
      <x:c r="A70"/>
      <x:c r="B70"/>
      <x:c r="C70"/>
      <x:c r="D70"/>
      <x:c r="E70"/>
      <x:c r="F70"/>
    </x:row>
    <x:row r="71">
      <x:c r="A71"/>
      <x:c r="B71"/>
      <x:c r="C71"/>
      <x:c r="D71"/>
      <x:c r="E71"/>
      <x:c r="F71"/>
    </x:row>
    <x:row r="72">
      <x:c r="A72"/>
      <x:c r="B72"/>
      <x:c r="C72"/>
      <x:c r="D72"/>
      <x:c r="E72"/>
      <x:c r="F72"/>
    </x:row>
    <x:row r="73">
      <x:c r="A73"/>
      <x:c r="B73"/>
      <x:c r="C73"/>
      <x:c r="D73"/>
      <x:c r="E73"/>
      <x:c r="F73"/>
    </x:row>
    <x:row r="74">
      <x:c r="A74"/>
      <x:c r="B74"/>
      <x:c r="C74"/>
      <x:c r="D74"/>
      <x:c r="E74"/>
      <x:c r="F74"/>
    </x:row>
    <x:row r="75">
      <x:c r="A75"/>
      <x:c r="B75"/>
      <x:c r="C75"/>
      <x:c r="D75"/>
      <x:c r="E75"/>
      <x:c r="F75"/>
    </x:row>
    <x:row r="76">
      <x:c r="A76"/>
      <x:c r="B76"/>
      <x:c r="C76"/>
      <x:c r="D76"/>
      <x:c r="E76"/>
      <x:c r="F76"/>
    </x:row>
    <x:row r="77">
      <x:c r="A77"/>
      <x:c r="B77"/>
      <x:c r="C77"/>
      <x:c r="D77"/>
      <x:c r="E77"/>
      <x:c r="F77"/>
    </x:row>
    <x:row r="78">
      <x:c r="A78"/>
      <x:c r="B78"/>
      <x:c r="C78"/>
      <x:c r="D78"/>
      <x:c r="E78"/>
      <x:c r="F78"/>
    </x:row>
    <x:row r="79">
      <x:c r="A79"/>
      <x:c r="B79"/>
      <x:c r="C79"/>
      <x:c r="D79"/>
      <x:c r="E79"/>
      <x:c r="F79"/>
    </x:row>
    <x:row r="80">
      <x:c r="A80"/>
      <x:c r="B80"/>
      <x:c r="C80"/>
      <x:c r="D80"/>
      <x:c r="E80"/>
      <x:c r="F80"/>
    </x:row>
    <x:row r="81">
      <x:c r="A81"/>
      <x:c r="B81"/>
      <x:c r="C81"/>
      <x:c r="D81"/>
      <x:c r="E81"/>
      <x:c r="F81"/>
    </x:row>
    <x:row r="82">
      <x:c r="A82"/>
      <x:c r="B82"/>
      <x:c r="C82"/>
      <x:c r="D82"/>
      <x:c r="E82"/>
      <x:c r="F82"/>
    </x:row>
    <x:row r="83">
      <x:c r="A83"/>
      <x:c r="B83"/>
      <x:c r="C83"/>
      <x:c r="D83"/>
      <x:c r="E83"/>
      <x:c r="F83"/>
    </x:row>
    <x:row r="84">
      <x:c r="A84"/>
      <x:c r="B84"/>
      <x:c r="C84"/>
      <x:c r="D84"/>
      <x:c r="E84"/>
      <x:c r="F84"/>
    </x:row>
    <x:row r="85">
      <x:c r="A85"/>
      <x:c r="B85"/>
      <x:c r="C85"/>
      <x:c r="D85"/>
      <x:c r="E85"/>
      <x:c r="F85"/>
    </x:row>
    <x:row r="86">
      <x:c r="A86"/>
      <x:c r="B86"/>
      <x:c r="C86"/>
      <x:c r="D86"/>
      <x:c r="E86"/>
      <x:c r="F86"/>
    </x:row>
    <x:row r="87">
      <x:c r="A87"/>
      <x:c r="B87"/>
      <x:c r="C87"/>
      <x:c r="D87"/>
      <x:c r="E87"/>
      <x:c r="F87"/>
    </x:row>
    <x:row r="88">
      <x:c r="A88"/>
      <x:c r="B88"/>
      <x:c r="C88"/>
      <x:c r="D88"/>
      <x:c r="E88"/>
      <x:c r="F88"/>
    </x:row>
    <x:row r="89">
      <x:c r="A89"/>
      <x:c r="B89"/>
      <x:c r="C89"/>
      <x:c r="D89"/>
      <x:c r="E89"/>
      <x:c r="F89"/>
    </x:row>
    <x:row r="90">
      <x:c r="A90"/>
      <x:c r="B90"/>
      <x:c r="C90"/>
      <x:c r="D90"/>
      <x:c r="E90"/>
      <x:c r="F90"/>
    </x:row>
    <x:row r="91">
      <x:c r="A91"/>
      <x:c r="B91"/>
      <x:c r="C91"/>
      <x:c r="D91"/>
      <x:c r="E91"/>
      <x:c r="F91"/>
    </x:row>
    <x:row r="92">
      <x:c r="A92"/>
      <x:c r="B92"/>
      <x:c r="C92"/>
      <x:c r="D92"/>
      <x:c r="E92"/>
      <x:c r="F92"/>
    </x:row>
    <x:row r="93">
      <x:c r="A93"/>
      <x:c r="B93"/>
      <x:c r="C93"/>
      <x:c r="D93"/>
      <x:c r="E93"/>
      <x:c r="F93"/>
    </x:row>
    <x:row r="94">
      <x:c r="A94"/>
      <x:c r="B94"/>
      <x:c r="C94"/>
      <x:c r="D94"/>
      <x:c r="E94"/>
      <x:c r="F94"/>
    </x:row>
    <x:row r="95">
      <x:c r="A95"/>
      <x:c r="B95"/>
      <x:c r="C95"/>
      <x:c r="D95"/>
      <x:c r="E95"/>
      <x:c r="F95"/>
    </x:row>
    <x:row r="96">
      <x:c r="A96"/>
      <x:c r="B96"/>
      <x:c r="C96"/>
      <x:c r="D96"/>
      <x:c r="E96"/>
      <x:c r="F96"/>
    </x:row>
    <x:row r="97">
      <x:c r="A97"/>
      <x:c r="B97"/>
      <x:c r="C97"/>
      <x:c r="D97"/>
      <x:c r="E97"/>
      <x:c r="F97"/>
    </x:row>
    <x:row r="98">
      <x:c r="A98"/>
      <x:c r="B98"/>
      <x:c r="C98"/>
      <x:c r="D98"/>
      <x:c r="E98"/>
      <x:c r="F98"/>
    </x:row>
    <x:row r="99">
      <x:c r="A99"/>
      <x:c r="B99"/>
      <x:c r="C99"/>
      <x:c r="D99"/>
      <x:c r="E99"/>
      <x:c r="F99"/>
    </x:row>
    <x:row r="100">
      <x:c r="A100"/>
      <x:c r="B100"/>
      <x:c r="C100"/>
      <x:c r="D100"/>
      <x:c r="E100"/>
      <x:c r="F100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fbc9cf698204619"/>
  </x:tableParts>
</x:worksheet>
</file>

<file path=xl/worksheets/sheet7.xml><?xml version="1.0" encoding="utf-8"?>
<x:worksheet xmlns:x="http://schemas.openxmlformats.org/spreadsheetml/2006/main">
  <x:sheetPr>
    <x:tabColor rgb="FFF4B94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18" hidden="0" customWidth="1"/>
    <x:col min="10" max="10" width="18" hidden="0" customWidth="1"/>
    <x:col min="11" max="11" width="18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</x:cols>
  <x:sheetData>
    <x:row r="1" ht="26" customHeight="1">
      <x:c r="A1" s="503" t="str">
        <x:v>Receptores y equivalencias de los casos aplicados VDEP</x:v>
      </x:c>
      <x:c r="B1" s="503"/>
      <x:c r="C1" s="503"/>
      <x:c r="D1" s="503"/>
      <x:c r="E1" s="503"/>
      <x:c r="F1" s="503"/>
      <x:c r="G1" s="503"/>
      <x:c r="H1" s="503"/>
      <x:c r="I1" s="503"/>
      <x:c r="J1" s="503"/>
      <x:c r="K1" s="503"/>
      <x:c r="L1" s="503"/>
      <x:c r="M1" s="503"/>
      <x:c r="N1" s="503"/>
      <x:c r="O1" s="503"/>
      <x:c r="P1" s="503"/>
      <x:c r="Q1" s="503"/>
      <x:c r="R1" s="503"/>
      <x:c r="S1" s="503"/>
      <x:c r="T1" s="503"/>
      <x:c r="U1" s="503"/>
      <x:c r="V1" s="503"/>
      <x:c r="W1" s="503"/>
      <x:c r="X1" s="503"/>
      <x:c r="Y1" s="503"/>
    </x:row>
    <x:row r="2" ht="34" customHeight="1">
      <x:c r="A2" s="501" t="str">
        <x:v>Los valores monetarios solo se incluyen cuando el anexo presenta una equivalencia defendible. Cero significa registro físico, no ausencia de daño.</x:v>
      </x:c>
      <x:c r="B2" s="501"/>
      <x:c r="C2" s="501"/>
      <x:c r="D2" s="501"/>
      <x:c r="E2" s="501"/>
      <x:c r="F2" s="501"/>
      <x:c r="G2" s="501"/>
      <x:c r="H2" s="501"/>
      <x:c r="I2" s="501"/>
      <x:c r="J2" s="501"/>
      <x:c r="K2" s="501"/>
      <x:c r="L2" s="501"/>
      <x:c r="M2" s="501"/>
      <x:c r="N2" s="501"/>
      <x:c r="O2" s="501"/>
      <x:c r="P2" s="501"/>
      <x:c r="Q2" s="501"/>
      <x:c r="R2" s="501"/>
      <x:c r="S2" s="501"/>
      <x:c r="T2" s="501"/>
      <x:c r="U2" s="501"/>
      <x:c r="V2" s="501"/>
      <x:c r="W2" s="501"/>
      <x:c r="X2" s="501"/>
      <x:c r="Y2" s="501"/>
    </x:row>
    <x:row r="3">
      <x:c r="A3" s="501" t="str">
        <x:v>Los nombres *_USD se conservan por compatibilidad técnica; todos los valores de este libro están en CRC.</x:v>
      </x:c>
      <x:c r="B3" s="501"/>
      <x:c r="C3" s="501"/>
      <x:c r="D3" s="501"/>
      <x:c r="E3" s="501"/>
      <x:c r="F3" s="501"/>
      <x:c r="G3" s="501"/>
      <x:c r="H3" s="501"/>
      <x:c r="I3" s="501"/>
      <x:c r="J3" s="501"/>
      <x:c r="K3" s="501"/>
      <x:c r="L3" s="501"/>
      <x:c r="M3" s="501"/>
      <x:c r="N3" s="501"/>
      <x:c r="O3" s="501"/>
      <x:c r="P3" s="501"/>
      <x:c r="Q3" s="501"/>
      <x:c r="R3" s="501"/>
      <x:c r="S3" s="501"/>
      <x:c r="T3" s="501"/>
      <x:c r="U3" s="501"/>
      <x:c r="V3" s="501"/>
      <x:c r="W3" s="501"/>
      <x:c r="X3" s="501"/>
      <x:c r="Y3" s="501"/>
    </x:row>
    <x:row r="4">
      <x:c r="A4" s="450"/>
      <x:c r="B4" s="450"/>
      <x:c r="C4" s="450"/>
      <x:c r="D4" s="450"/>
      <x:c r="E4" s="450"/>
      <x:c r="F4" s="450"/>
      <x:c r="G4" s="450"/>
      <x:c r="H4" s="450"/>
      <x:c r="I4" s="450"/>
      <x:c r="J4" s="450"/>
      <x:c r="K4" s="450"/>
      <x:c r="L4" s="450"/>
      <x:c r="M4" s="450"/>
      <x:c r="N4" s="450"/>
      <x:c r="O4" s="450"/>
      <x:c r="P4" s="450"/>
      <x:c r="Q4" s="450"/>
      <x:c r="R4" s="450"/>
      <x:c r="S4" s="450"/>
      <x:c r="T4" s="450"/>
      <x:c r="U4" s="450"/>
      <x:c r="V4" s="450"/>
      <x:c r="W4" s="450"/>
      <x:c r="X4" s="450"/>
      <x:c r="Y4" s="450"/>
    </x:row>
    <x:row r="5" ht="34" customHeight="1">
      <x:c r="A5" s="502" t="str">
        <x:v>ID_REFERENCIA</x:v>
      </x:c>
      <x:c r="B5" s="502" t="str">
        <x:v>ID_CASO</x:v>
      </x:c>
      <x:c r="C5" s="502" t="str">
        <x:v>ESPECIE_GRUPO</x:v>
      </x:c>
      <x:c r="D5" s="502" t="str">
        <x:v>GRUPO_TAXONOMICO</x:v>
      </x:c>
      <x:c r="E5" s="502" t="str">
        <x:v>TIPO_AFECTACION</x:v>
      </x:c>
      <x:c r="F5" s="502" t="str">
        <x:v>FUNCION_ECOLOGICA</x:v>
      </x:c>
      <x:c r="G5" s="502" t="str">
        <x:v>CUENTA</x:v>
      </x:c>
      <x:c r="H5" s="502" t="str">
        <x:v>UNIDAD</x:v>
      </x:c>
      <x:c r="I5" s="502" t="str">
        <x:v>VALOR_BAJO_USD</x:v>
      </x:c>
      <x:c r="J5" s="502" t="str">
        <x:v>VALOR_CENTRAL_USD</x:v>
      </x:c>
      <x:c r="K5" s="502" t="str">
        <x:v>VALOR_ALTO_USD</x:v>
      </x:c>
      <x:c r="L5" s="502" t="str">
        <x:v>NIVEL_EVIDENCIA</x:v>
      </x:c>
      <x:c r="M5" s="502" t="str">
        <x:v>NEXO_CAUSAL</x:v>
      </x:c>
      <x:c r="N5" s="502" t="str">
        <x:v>FUENTE_DEMO</x:v>
      </x:c>
      <x:c r="O5" s="502" t="str">
        <x:v>GRUPO_DOBLE_CONTEO</x:v>
      </x:c>
      <x:c r="P5" s="502" t="str">
        <x:v>NOTAS</x:v>
      </x:c>
      <x:c r="Q5" s="502" t="str">
        <x:v>ESTADO_REFERENCIA</x:v>
      </x:c>
      <x:c r="R5" s="502" t="str">
        <x:v>TIPO_FUENTE</x:v>
      </x:c>
      <x:c r="S5" s="502" t="str">
        <x:v>ESTADO_DATO_PREDETERMINADO</x:v>
      </x:c>
      <x:c r="T5" s="502" t="str">
        <x:v>N_CASOS</x:v>
      </x:c>
      <x:c r="U5" s="502" t="str">
        <x:v>ESTADISTICO</x:v>
      </x:c>
      <x:c r="V5" s="502" t="str">
        <x:v>PERIODO_REFERENCIA</x:v>
      </x:c>
      <x:c r="W5" s="502" t="str">
        <x:v>INCLUIR_CASO_DEMO</x:v>
      </x:c>
      <x:c r="X5" s="502" t="str">
        <x:v>CANTIDAD_CASO_DEMO</x:v>
      </x:c>
      <x:c r="Y5" s="502" t="str">
        <x:v>ORDEN_CASO_DEMO</x:v>
      </x:c>
    </x:row>
    <x:row r="6">
      <x:c r="A6" s="450" t="str">
        <x:v>ESP-VDEP-01</x:v>
      </x:c>
      <x:c r="B6" s="450" t="str">
        <x:v>VDEP-EJ01</x:v>
      </x:c>
      <x:c r="C6" s="450" t="str">
        <x:v>Pericos vivos en rehabilitación</x:v>
      </x:c>
      <x:c r="D6" s="450" t="str">
        <x:v>Ave</x:v>
      </x:c>
      <x:c r="E6" s="450" t="str">
        <x:v>Lesión</x:v>
      </x:c>
      <x:c r="F6" s="450" t="str">
        <x:v>Función silvestre temporalmente ausente</x:v>
      </x:c>
      <x:c r="G6" s="450" t="str">
        <x:v>A1</x:v>
      </x:c>
      <x:c r="H6" s="450" t="str">
        <x:v>individuo</x:v>
      </x:c>
      <x:c r="I6" s="451" t="n">
        <x:v>0</x:v>
      </x:c>
      <x:c r="J6" s="451" t="n">
        <x:v>0</x:v>
      </x:c>
      <x:c r="K6" s="451" t="n">
        <x:v>0</x:v>
      </x:c>
      <x:c r="L6" s="450" t="str">
        <x:v>A</x:v>
      </x:c>
      <x:c r="M6" s="450" t="str">
        <x:v>Sí</x:v>
      </x:c>
      <x:c r="N6" s="450" t="str">
        <x:v>Producto 2.1.2, Anexo técnico de ejemplos aplicados VDEP, Ejemplo 1, pp. 3–4 (septiembre de 2026)</x:v>
      </x:c>
      <x:c r="O6" s="450" t="str"/>
      <x:c r="P6" s="450" t="str">
        <x:v>No se agrega precio por individuo mientras no exista lesión residual.</x:v>
      </x:c>
      <x:c r="Q6" s="450" t="str">
        <x:v>DIDÁCTICO</x:v>
      </x:c>
      <x:c r="R6" s="450" t="str">
        <x:v>Dato del expediente</x:v>
      </x:c>
      <x:c r="S6" s="450" t="str">
        <x:v>Observado</x:v>
      </x:c>
      <x:c r="T6" s="450"/>
      <x:c r="U6" s="450" t="str">
        <x:v>2 individuos</x:v>
      </x:c>
      <x:c r="V6" s="450" t="str">
        <x:v>septiembre de 2026</x:v>
      </x:c>
      <x:c r="W6" s="450" t="str">
        <x:v>No</x:v>
      </x:c>
      <x:c r="X6" s="450" t="n">
        <x:v>2</x:v>
      </x:c>
      <x:c r="Y6" s="450" t="n">
        <x:v>1</x:v>
      </x:c>
    </x:row>
    <x:row r="7">
      <x:c r="A7" s="450" t="str">
        <x:v>ESP-VDEP-02</x:v>
      </x:c>
      <x:c r="B7" s="450" t="str">
        <x:v>VDEP-EJ02</x:v>
      </x:c>
      <x:c r="C7" s="450" t="str">
        <x:v>Primate no liberable</x:v>
      </x:c>
      <x:c r="D7" s="450" t="str">
        <x:v>Mamífero</x:v>
      </x:c>
      <x:c r="E7" s="450" t="str">
        <x:v>Extracción</x:v>
      </x:c>
      <x:c r="F7" s="450" t="str">
        <x:v>Pérdida permanente de función silvestre</x:v>
      </x:c>
      <x:c r="G7" s="450" t="str">
        <x:v>R</x:v>
      </x:c>
      <x:c r="H7" s="450" t="str">
        <x:v>individuo funcional equivalente</x:v>
      </x:c>
      <x:c r="I7" s="451" t="n">
        <x:v>3800000</x:v>
      </x:c>
      <x:c r="J7" s="451" t="n">
        <x:v>4500000</x:v>
      </x:c>
      <x:c r="K7" s="451" t="n">
        <x:v>5400000</x:v>
      </x:c>
      <x:c r="L7" s="450" t="str">
        <x:v>B</x:v>
      </x:c>
      <x:c r="M7" s="450" t="str">
        <x:v>Sí</x:v>
      </x:c>
      <x:c r="N7" s="450" t="str">
        <x:v>Producto 2.1.2, Anexo técnico de ejemplos aplicados VDEP, Ejemplo 2, pp. 5–7 (septiembre de 2026)</x:v>
      </x:c>
      <x:c r="O7" s="450" t="str"/>
      <x:c r="P7" s="450" t="str">
        <x:v>Equivalencia individual; el cuidado futuro se registra aparte.</x:v>
      </x:c>
      <x:c r="Q7" s="450" t="str">
        <x:v>DIDÁCTICO</x:v>
      </x:c>
      <x:c r="R7" s="450" t="str">
        <x:v>Estudio comparable</x:v>
      </x:c>
      <x:c r="S7" s="450" t="str">
        <x:v>Estimado</x:v>
      </x:c>
      <x:c r="T7" s="450"/>
      <x:c r="U7" s="450" t="str">
        <x:v>Rango de programas comparables</x:v>
      </x:c>
      <x:c r="V7" s="450" t="str">
        <x:v>septiembre de 2026</x:v>
      </x:c>
      <x:c r="W7" s="450" t="str">
        <x:v>No</x:v>
      </x:c>
      <x:c r="X7" s="450" t="n">
        <x:v>1</x:v>
      </x:c>
      <x:c r="Y7" s="450" t="n">
        <x:v>2</x:v>
      </x:c>
    </x:row>
    <x:row r="8">
      <x:c r="A8" s="450" t="str">
        <x:v>ESP-VDEP-03</x:v>
      </x:c>
      <x:c r="B8" s="450" t="str">
        <x:v>VDEP-EJ03</x:v>
      </x:c>
      <x:c r="C8" s="450" t="str">
        <x:v>Lapa reproductora muerta</x:v>
      </x:c>
      <x:c r="D8" s="450" t="str">
        <x:v>Ave</x:v>
      </x:c>
      <x:c r="E8" s="450" t="str">
        <x:v>Mortalidad</x:v>
      </x:c>
      <x:c r="F8" s="450" t="str">
        <x:v>Función ecológica y reproductiva</x:v>
      </x:c>
      <x:c r="G8" s="450" t="str">
        <x:v>R</x:v>
      </x:c>
      <x:c r="H8" s="450" t="str">
        <x:v>adulto funcional equivalente</x:v>
      </x:c>
      <x:c r="I8" s="451" t="n">
        <x:v>8000000</x:v>
      </x:c>
      <x:c r="J8" s="451" t="n">
        <x:v>10000000</x:v>
      </x:c>
      <x:c r="K8" s="451" t="n">
        <x:v>13125000</x:v>
      </x:c>
      <x:c r="L8" s="450" t="str">
        <x:v>B</x:v>
      </x:c>
      <x:c r="M8" s="450" t="str">
        <x:v>Sí</x:v>
      </x:c>
      <x:c r="N8" s="450" t="str">
        <x:v>Producto 2.1.2, Anexo técnico de ejemplos aplicados VDEP, Ejemplo 3, pp. 8–10 (septiembre de 2026)</x:v>
      </x:c>
      <x:c r="O8" s="450" t="str"/>
      <x:c r="P8" s="450" t="str">
        <x:v>Precio sombra derivado de programa comparable.</x:v>
      </x:c>
      <x:c r="Q8" s="450" t="str">
        <x:v>DIDÁCTICO</x:v>
      </x:c>
      <x:c r="R8" s="450" t="str">
        <x:v>Estudio comparable</x:v>
      </x:c>
      <x:c r="S8" s="450" t="str">
        <x:v>Estimado</x:v>
      </x:c>
      <x:c r="T8" s="450" t="n">
        <x:v>9</x:v>
      </x:c>
      <x:c r="U8" s="450" t="str">
        <x:v>Costo/eficacia</x:v>
      </x:c>
      <x:c r="V8" s="450" t="str">
        <x:v>septiembre de 2026</x:v>
      </x:c>
      <x:c r="W8" s="450" t="str">
        <x:v>No</x:v>
      </x:c>
      <x:c r="X8" s="450" t="n">
        <x:v>1</x:v>
      </x:c>
      <x:c r="Y8" s="450" t="n">
        <x:v>3</x:v>
      </x:c>
    </x:row>
    <x:row r="9">
      <x:c r="A9" s="450" t="str">
        <x:v>ESP-VDEP-04</x:v>
      </x:c>
      <x:c r="B9" s="450" t="str">
        <x:v>VDEP-EJ04</x:v>
      </x:c>
      <x:c r="C9" s="450" t="str">
        <x:v>Lote de 400 huevos de tortuga marina</x:v>
      </x:c>
      <x:c r="D9" s="450" t="str">
        <x:v>Reptil</x:v>
      </x:c>
      <x:c r="E9" s="450" t="str">
        <x:v>Pérdida reproductiva</x:v>
      </x:c>
      <x:c r="F9" s="450" t="str">
        <x:v>Reclutamiento poblacional</x:v>
      </x:c>
      <x:c r="G9" s="450" t="str">
        <x:v>R</x:v>
      </x:c>
      <x:c r="H9" s="450" t="str">
        <x:v>lote de 400 huevos</x:v>
      </x:c>
      <x:c r="I9" s="451" t="n">
        <x:v>4500000</x:v>
      </x:c>
      <x:c r="J9" s="451" t="n">
        <x:v>6400000</x:v>
      </x:c>
      <x:c r="K9" s="451" t="n">
        <x:v>8500000</x:v>
      </x:c>
      <x:c r="L9" s="450" t="str">
        <x:v>B</x:v>
      </x:c>
      <x:c r="M9" s="450" t="str">
        <x:v>Sí</x:v>
      </x:c>
      <x:c r="N9" s="450" t="str">
        <x:v>Producto 2.1.2, Anexo técnico de ejemplos aplicados VDEP, Ejemplo 4, pp. 11–12 (septiembre de 2026)</x:v>
      </x:c>
      <x:c r="O9" s="450" t="str"/>
      <x:c r="P9" s="450" t="str">
        <x:v>El lote ya incorpora supervivencia y adulto-equivalente.</x:v>
      </x:c>
      <x:c r="Q9" s="450" t="str">
        <x:v>DIDÁCTICO</x:v>
      </x:c>
      <x:c r="R9" s="450" t="str">
        <x:v>Estudio comparable</x:v>
      </x:c>
      <x:c r="S9" s="450" t="str">
        <x:v>Estimado</x:v>
      </x:c>
      <x:c r="T9" s="450"/>
      <x:c r="U9" s="450" t="str">
        <x:v>Conversión reproductiva</x:v>
      </x:c>
      <x:c r="V9" s="450" t="str">
        <x:v>septiembre de 2026</x:v>
      </x:c>
      <x:c r="W9" s="450" t="str">
        <x:v>No</x:v>
      </x:c>
      <x:c r="X9" s="450" t="n">
        <x:v>1</x:v>
      </x:c>
      <x:c r="Y9" s="450" t="n">
        <x:v>4</x:v>
      </x:c>
    </x:row>
    <x:row r="10">
      <x:c r="A10" s="450" t="str">
        <x:v>ESP-VDEP-05</x:v>
      </x:c>
      <x:c r="B10" s="450" t="str">
        <x:v>VDEP-EJ05</x:v>
      </x:c>
      <x:c r="C10" s="450" t="str">
        <x:v>Coral afectado</x:v>
      </x:c>
      <x:c r="D10" s="450" t="str">
        <x:v>Coral</x:v>
      </x:c>
      <x:c r="E10" s="450" t="str">
        <x:v>Hábitat</x:v>
      </x:c>
      <x:c r="F10" s="450" t="str">
        <x:v>Cobertura y estructura de arrecife</x:v>
      </x:c>
      <x:c r="G10" s="450" t="str">
        <x:v>A1</x:v>
      </x:c>
      <x:c r="H10" s="450" t="str">
        <x:v>m²</x:v>
      </x:c>
      <x:c r="I10" s="451" t="n">
        <x:v>0</x:v>
      </x:c>
      <x:c r="J10" s="451" t="n">
        <x:v>0</x:v>
      </x:c>
      <x:c r="K10" s="451" t="n">
        <x:v>0</x:v>
      </x:c>
      <x:c r="L10" s="450" t="str">
        <x:v>B</x:v>
      </x:c>
      <x:c r="M10" s="450" t="str">
        <x:v>Sí</x:v>
      </x:c>
      <x:c r="N10" s="450" t="str">
        <x:v>Producto 2.1.2, Anexo técnico de ejemplos aplicados VDEP, Ejemplo 5, pp. 13–14 (septiembre de 2026)</x:v>
      </x:c>
      <x:c r="O10" s="450" t="str"/>
      <x:c r="P10" s="450" t="str">
        <x:v>La monetización aparece en B y R, no como precio por coral.</x:v>
      </x:c>
      <x:c r="Q10" s="450" t="str">
        <x:v>DIDÁCTICO</x:v>
      </x:c>
      <x:c r="R10" s="450" t="str">
        <x:v>Dato del expediente</x:v>
      </x:c>
      <x:c r="S10" s="450" t="str">
        <x:v>Observado</x:v>
      </x:c>
      <x:c r="T10" s="450"/>
      <x:c r="U10" s="450" t="str">
        <x:v>150 m²</x:v>
      </x:c>
      <x:c r="V10" s="450" t="str">
        <x:v>septiembre de 2026</x:v>
      </x:c>
      <x:c r="W10" s="450" t="str">
        <x:v>No</x:v>
      </x:c>
      <x:c r="X10" s="450" t="n">
        <x:v>150</x:v>
      </x:c>
      <x:c r="Y10" s="450" t="n">
        <x:v>5</x:v>
      </x:c>
    </x:row>
    <x:row r="11">
      <x:c r="A11" s="450" t="str">
        <x:v>ESP-VDEP-06</x:v>
      </x:c>
      <x:c r="B11" s="450" t="str">
        <x:v>VDEP-EJ06</x:v>
      </x:c>
      <x:c r="C11" s="450" t="str">
        <x:v>Orquídeas recuperadas</x:v>
      </x:c>
      <x:c r="D11" s="450" t="str">
        <x:v>Planta</x:v>
      </x:c>
      <x:c r="E11" s="450" t="str">
        <x:v>Extracción</x:v>
      </x:c>
      <x:c r="F11" s="450" t="str">
        <x:v>Diversidad vegetal</x:v>
      </x:c>
      <x:c r="G11" s="450" t="str">
        <x:v>R</x:v>
      </x:c>
      <x:c r="H11" s="450" t="str">
        <x:v>planta establecida</x:v>
      </x:c>
      <x:c r="I11" s="451" t="n">
        <x:v>50000</x:v>
      </x:c>
      <x:c r="J11" s="451" t="n">
        <x:v>60000</x:v>
      </x:c>
      <x:c r="K11" s="451" t="n">
        <x:v>70000</x:v>
      </x:c>
      <x:c r="L11" s="450" t="str">
        <x:v>B</x:v>
      </x:c>
      <x:c r="M11" s="450" t="str">
        <x:v>Sí</x:v>
      </x:c>
      <x:c r="N11" s="450" t="str">
        <x:v>Producto 2.1.2, Anexo técnico de ejemplos aplicados VDEP, Ejemplo 6, pp. 15–16 (septiembre de 2026)</x:v>
      </x:c>
      <x:c r="O11" s="450" t="str"/>
      <x:c r="P11" s="450" t="str">
        <x:v>Costo de propagación/reintroducción por planta establecida.</x:v>
      </x:c>
      <x:c r="Q11" s="450" t="str">
        <x:v>DIDÁCTICO</x:v>
      </x:c>
      <x:c r="R11" s="450" t="str">
        <x:v>Estudio comparable</x:v>
      </x:c>
      <x:c r="S11" s="450" t="str">
        <x:v>Estimado</x:v>
      </x:c>
      <x:c r="T11" s="450"/>
      <x:c r="U11" s="450" t="str">
        <x:v>Rango por planta</x:v>
      </x:c>
      <x:c r="V11" s="450" t="str">
        <x:v>septiembre de 2026</x:v>
      </x:c>
      <x:c r="W11" s="450" t="str">
        <x:v>No</x:v>
      </x:c>
      <x:c r="X11" s="450" t="n">
        <x:v>50</x:v>
      </x:c>
      <x:c r="Y11" s="450" t="n">
        <x:v>6</x:v>
      </x:c>
    </x:row>
    <x:row r="12">
      <x:c r="A12" s="450" t="str">
        <x:v>ESP-VDEP-07</x:v>
      </x:c>
      <x:c r="B12" s="450" t="str">
        <x:v>VDEP-EJ07</x:v>
      </x:c>
      <x:c r="C12" s="450" t="str">
        <x:v>Lote de dos polluelos</x:v>
      </x:c>
      <x:c r="D12" s="450" t="str">
        <x:v>Ave</x:v>
      </x:c>
      <x:c r="E12" s="450" t="str">
        <x:v>Pérdida reproductiva</x:v>
      </x:c>
      <x:c r="F12" s="450" t="str">
        <x:v>Reclutamiento y reproducción</x:v>
      </x:c>
      <x:c r="G12" s="450" t="str">
        <x:v>R</x:v>
      </x:c>
      <x:c r="H12" s="450" t="str">
        <x:v>lote de dos polluelos</x:v>
      </x:c>
      <x:c r="I12" s="451" t="n">
        <x:v>2275000</x:v>
      </x:c>
      <x:c r="J12" s="451" t="n">
        <x:v>3500000</x:v>
      </x:c>
      <x:c r="K12" s="451" t="n">
        <x:v>4875000</x:v>
      </x:c>
      <x:c r="L12" s="450" t="str">
        <x:v>B</x:v>
      </x:c>
      <x:c r="M12" s="450" t="str">
        <x:v>Sí</x:v>
      </x:c>
      <x:c r="N12" s="450" t="str">
        <x:v>Producto 2.1.2, Anexo técnico de ejemplos aplicados VDEP, Ejemplo 7, pp. 17–18 (septiembre de 2026)</x:v>
      </x:c>
      <x:c r="O12" s="450" t="str"/>
      <x:c r="P12" s="450" t="str">
        <x:v>El lote ya incorpora el rango de adulto-equivalente.</x:v>
      </x:c>
      <x:c r="Q12" s="450" t="str">
        <x:v>DIDÁCTICO</x:v>
      </x:c>
      <x:c r="R12" s="450" t="str">
        <x:v>Estudio comparable</x:v>
      </x:c>
      <x:c r="S12" s="450" t="str">
        <x:v>Estimado</x:v>
      </x:c>
      <x:c r="T12" s="450"/>
      <x:c r="U12" s="450" t="str">
        <x:v>Conversión reproductiva</x:v>
      </x:c>
      <x:c r="V12" s="450" t="str">
        <x:v>septiembre de 2026</x:v>
      </x:c>
      <x:c r="W12" s="450" t="str">
        <x:v>No</x:v>
      </x:c>
      <x:c r="X12" s="450" t="n">
        <x:v>1</x:v>
      </x:c>
      <x:c r="Y12" s="450" t="n">
        <x:v>7</x:v>
      </x:c>
    </x:row>
    <x:row r="13">
      <x:c r="A13" s="450" t="str">
        <x:v>ESP-VDEP-08</x:v>
      </x:c>
      <x:c r="B13" s="450" t="str">
        <x:v>VDEP-EJ08</x:v>
      </x:c>
      <x:c r="C13" s="450" t="str">
        <x:v>Lote de fauna pequeña</x:v>
      </x:c>
      <x:c r="D13" s="450" t="str">
        <x:v>Grupo mixto</x:v>
      </x:c>
      <x:c r="E13" s="450" t="str">
        <x:v>Otra</x:v>
      </x:c>
      <x:c r="F13" s="450" t="str">
        <x:v>Funciones por determinar</x:v>
      </x:c>
      <x:c r="G13" s="450" t="str">
        <x:v>R</x:v>
      </x:c>
      <x:c r="H13" s="450" t="str">
        <x:v>lote forense</x:v>
      </x:c>
      <x:c r="I13" s="451" t="n">
        <x:v>3000000</x:v>
      </x:c>
      <x:c r="J13" s="451" t="n">
        <x:v>3750000</x:v>
      </x:c>
      <x:c r="K13" s="451" t="n">
        <x:v>4500000</x:v>
      </x:c>
      <x:c r="L13" s="450" t="str">
        <x:v>B</x:v>
      </x:c>
      <x:c r="M13" s="450" t="str">
        <x:v>Sí</x:v>
      </x:c>
      <x:c r="N13" s="450" t="str">
        <x:v>Producto 2.1.2, Anexo técnico de ejemplos aplicados VDEP, Ejemplo 8, pp. 19–20 (septiembre de 2026)</x:v>
      </x:c>
      <x:c r="O13" s="450" t="str"/>
      <x:c r="P13" s="450" t="str">
        <x:v>Rango total 120–180 a CRC 25.000 por unidad.</x:v>
      </x:c>
      <x:c r="Q13" s="450" t="str">
        <x:v>DIDÁCTICO</x:v>
      </x:c>
      <x:c r="R13" s="450" t="str">
        <x:v>Estudio comparable</x:v>
      </x:c>
      <x:c r="S13" s="450" t="str">
        <x:v>Estimado</x:v>
      </x:c>
      <x:c r="T13" s="450"/>
      <x:c r="U13" s="450" t="str">
        <x:v>Rango forense</x:v>
      </x:c>
      <x:c r="V13" s="450" t="str">
        <x:v>septiembre de 2026</x:v>
      </x:c>
      <x:c r="W13" s="450" t="str">
        <x:v>No</x:v>
      </x:c>
      <x:c r="X13" s="450" t="n">
        <x:v>1</x:v>
      </x:c>
      <x:c r="Y13" s="450" t="n">
        <x:v>8</x:v>
      </x:c>
    </x:row>
    <x:row r="14">
      <x:c r="A14" s="450" t="str">
        <x:v>ESP-VDEP-09A</x:v>
      </x:c>
      <x:c r="B14" s="450" t="str">
        <x:v>VDEP-EJ09</x:v>
      </x:c>
      <x:c r="C14" s="450" t="str">
        <x:v>Aves asociadas al evento</x:v>
      </x:c>
      <x:c r="D14" s="450" t="str">
        <x:v>Ave</x:v>
      </x:c>
      <x:c r="E14" s="450" t="str">
        <x:v>Extracción</x:v>
      </x:c>
      <x:c r="F14" s="450" t="str">
        <x:v>Función silvestre</x:v>
      </x:c>
      <x:c r="G14" s="450" t="str">
        <x:v>R</x:v>
      </x:c>
      <x:c r="H14" s="450" t="str">
        <x:v>ave</x:v>
      </x:c>
      <x:c r="I14" s="451" t="n">
        <x:v>160000</x:v>
      </x:c>
      <x:c r="J14" s="451" t="n">
        <x:v>200000</x:v>
      </x:c>
      <x:c r="K14" s="451" t="n">
        <x:v>240000</x:v>
      </x:c>
      <x:c r="L14" s="450" t="str">
        <x:v>B</x:v>
      </x:c>
      <x:c r="M14" s="450" t="str">
        <x:v>Sí</x:v>
      </x:c>
      <x:c r="N14" s="450" t="str">
        <x:v>Producto 2.1.2, Anexo técnico de ejemplos aplicados VDEP, Ejemplo 9, pp. 21–22 (septiembre de 2026)</x:v>
      </x:c>
      <x:c r="O14" s="450" t="str"/>
      <x:c r="P14" s="450" t="str">
        <x:v>Equivalencia por ave.</x:v>
      </x:c>
      <x:c r="Q14" s="450" t="str">
        <x:v>DIDÁCTICO</x:v>
      </x:c>
      <x:c r="R14" s="450" t="str">
        <x:v>Estudio comparable</x:v>
      </x:c>
      <x:c r="S14" s="450" t="str">
        <x:v>Estimado</x:v>
      </x:c>
      <x:c r="T14" s="450"/>
      <x:c r="U14" s="450" t="str">
        <x:v>Rango unitario</x:v>
      </x:c>
      <x:c r="V14" s="450" t="str">
        <x:v>septiembre de 2026</x:v>
      </x:c>
      <x:c r="W14" s="450" t="str">
        <x:v>No</x:v>
      </x:c>
      <x:c r="X14" s="450" t="n">
        <x:v>8</x:v>
      </x:c>
      <x:c r="Y14" s="450" t="n">
        <x:v>9</x:v>
      </x:c>
    </x:row>
    <x:row r="15">
      <x:c r="A15" s="450" t="str">
        <x:v>ESP-VDEP-09B</x:v>
      </x:c>
      <x:c r="B15" s="450" t="str">
        <x:v>VDEP-EJ09</x:v>
      </x:c>
      <x:c r="C15" s="450" t="str">
        <x:v>Manglar afectado</x:v>
      </x:c>
      <x:c r="D15" s="450" t="str">
        <x:v>Hábitat</x:v>
      </x:c>
      <x:c r="E15" s="450" t="str">
        <x:v>Hábitat</x:v>
      </x:c>
      <x:c r="F15" s="450" t="str">
        <x:v>Servicios y estructura de manglar</x:v>
      </x:c>
      <x:c r="G15" s="450" t="str">
        <x:v>A1</x:v>
      </x:c>
      <x:c r="H15" s="450" t="str">
        <x:v>hectárea</x:v>
      </x:c>
      <x:c r="I15" s="451" t="n">
        <x:v>0</x:v>
      </x:c>
      <x:c r="J15" s="451" t="n">
        <x:v>0</x:v>
      </x:c>
      <x:c r="K15" s="451" t="n">
        <x:v>0</x:v>
      </x:c>
      <x:c r="L15" s="450" t="str">
        <x:v>B</x:v>
      </x:c>
      <x:c r="M15" s="450" t="str">
        <x:v>Sí</x:v>
      </x:c>
      <x:c r="N15" s="450" t="str">
        <x:v>Producto 2.1.2, Anexo técnico de ejemplos aplicados VDEP, Ejemplo 9, pp. 21–22 (septiembre de 2026)</x:v>
      </x:c>
      <x:c r="O15" s="450" t="str"/>
      <x:c r="P15" s="450" t="str">
        <x:v>B y R se incluyen solo si se acredita la causalidad territorial.</x:v>
      </x:c>
      <x:c r="Q15" s="450" t="str">
        <x:v>DIDÁCTICO</x:v>
      </x:c>
      <x:c r="R15" s="450" t="str">
        <x:v>Dato del expediente</x:v>
      </x:c>
      <x:c r="S15" s="450" t="str">
        <x:v>Observado</x:v>
      </x:c>
      <x:c r="T15" s="450"/>
      <x:c r="U15" s="450" t="str">
        <x:v>0,6 ha</x:v>
      </x:c>
      <x:c r="V15" s="450" t="str">
        <x:v>septiembre de 2026</x:v>
      </x:c>
      <x:c r="W15" s="450" t="str">
        <x:v>No</x:v>
      </x:c>
      <x:c r="X15" s="450" t="n">
        <x:v>0.6</x:v>
      </x:c>
      <x:c r="Y15" s="450" t="n">
        <x:v>10</x:v>
      </x:c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</x:row>
  </x:sheetData>
  <x:mergeCells>
    <x:mergeCell ref="A1:Y1"/>
    <x:mergeCell ref="A2:Y2"/>
    <x:mergeCell ref="A3:Y3"/>
  </x:mergeCells>
  <x:dataValidations count="5">
    <x:dataValidation type="list" sqref="D6:D100">
      <x:formula1>"Mortalidad,Extracción,Lesión,Desplazamiento,Pérdida reproductiva,Hábitat,Otra"</x:formula1>
    </x:dataValidation>
    <x:dataValidation type="list" sqref="K6:K100">
      <x:formula1>"A,B,C,D,X"</x:formula1>
    </x:dataValidation>
    <x:dataValidation type="list" sqref="L6:L100">
      <x:formula1>"Sí,No"</x:formula1>
    </x:dataValidation>
    <x:dataValidation type="list" sqref="G6:G12">
      <x:formula1>"A1,A2"</x:formula1>
    </x:dataValidation>
    <x:dataValidation type="list" sqref="F6:F12">
      <x:formula1>"A1,A2"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F4B94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42" hidden="0" customWidth="1"/>
    <x:col min="26" max="26" width="42" hidden="0" customWidth="1"/>
  </x:cols>
  <x:sheetData>
    <x:row r="1" ht="26" customHeight="1">
      <x:c r="A1" s="503" t="str">
        <x:v>Componentes monetarios de los nueve ejemplos aplicados VDEP</x:v>
      </x:c>
      <x:c r="B1" s="503"/>
      <x:c r="C1" s="503"/>
      <x:c r="D1" s="503"/>
      <x:c r="E1" s="503"/>
      <x:c r="F1" s="503"/>
      <x:c r="G1" s="503"/>
      <x:c r="H1" s="503"/>
      <x:c r="I1" s="503"/>
      <x:c r="J1" s="503"/>
      <x:c r="K1" s="503"/>
      <x:c r="L1" s="503"/>
      <x:c r="M1" s="503"/>
      <x:c r="N1" s="503"/>
      <x:c r="O1" s="503"/>
      <x:c r="P1" s="503"/>
      <x:c r="Q1" s="503"/>
      <x:c r="R1" s="503"/>
      <x:c r="S1" s="503"/>
      <x:c r="T1" s="503"/>
      <x:c r="U1" s="503"/>
      <x:c r="V1" s="503"/>
      <x:c r="W1" s="503"/>
      <x:c r="X1" s="503"/>
      <x:c r="Y1" s="503"/>
      <x:c r="Z1" s="503"/>
    </x:row>
    <x:row r="2" ht="34" customHeight="1">
      <x:c r="A2" s="501" t="str">
        <x:v>Cada fila reproduce el monto bajo, central y alto publicado para un componente. Se carga como una unidad de caso para conservar exactamente el total del anexo.</x:v>
      </x:c>
      <x:c r="B2" s="501"/>
      <x:c r="C2" s="501"/>
      <x:c r="D2" s="501"/>
      <x:c r="E2" s="501"/>
      <x:c r="F2" s="501"/>
      <x:c r="G2" s="501"/>
      <x:c r="H2" s="501"/>
      <x:c r="I2" s="501"/>
      <x:c r="J2" s="501"/>
      <x:c r="K2" s="501"/>
      <x:c r="L2" s="501"/>
      <x:c r="M2" s="501"/>
      <x:c r="N2" s="501"/>
      <x:c r="O2" s="501"/>
      <x:c r="P2" s="501"/>
      <x:c r="Q2" s="501"/>
      <x:c r="R2" s="501"/>
      <x:c r="S2" s="501"/>
      <x:c r="T2" s="501"/>
      <x:c r="U2" s="501"/>
      <x:c r="V2" s="501"/>
      <x:c r="W2" s="501"/>
      <x:c r="X2" s="501"/>
      <x:c r="Y2" s="501"/>
      <x:c r="Z2" s="501"/>
    </x:row>
    <x:row r="3">
      <x:c r="A3" s="501" t="str">
        <x:v>Los nombres de columnas *_USD se conservan por compatibilidad con la app, pero la moneda de este libro es CRC. No son dólares.</x:v>
      </x:c>
      <x:c r="B3" s="501"/>
      <x:c r="C3" s="501"/>
      <x:c r="D3" s="501"/>
      <x:c r="E3" s="501"/>
      <x:c r="F3" s="501"/>
      <x:c r="G3" s="501"/>
      <x:c r="H3" s="501"/>
      <x:c r="I3" s="501"/>
      <x:c r="J3" s="501"/>
      <x:c r="K3" s="501"/>
      <x:c r="L3" s="501"/>
      <x:c r="M3" s="501"/>
      <x:c r="N3" s="501"/>
      <x:c r="O3" s="501"/>
      <x:c r="P3" s="501"/>
      <x:c r="Q3" s="501"/>
      <x:c r="R3" s="501"/>
      <x:c r="S3" s="501"/>
      <x:c r="T3" s="501"/>
      <x:c r="U3" s="501"/>
      <x:c r="V3" s="501"/>
      <x:c r="W3" s="501"/>
      <x:c r="X3" s="501"/>
      <x:c r="Y3" s="501"/>
      <x:c r="Z3" s="501"/>
    </x:row>
    <x:row r="4">
      <x:c r="A4" s="450"/>
      <x:c r="B4" s="450"/>
      <x:c r="C4" s="450"/>
      <x:c r="D4" s="450"/>
      <x:c r="E4" s="450"/>
      <x:c r="F4" s="450"/>
      <x:c r="G4" s="450"/>
      <x:c r="H4" s="450"/>
      <x:c r="I4" s="450"/>
      <x:c r="J4" s="450"/>
      <x:c r="K4" s="450"/>
      <x:c r="L4" s="450"/>
      <x:c r="M4" s="450"/>
      <x:c r="N4" s="450"/>
      <x:c r="O4" s="450"/>
      <x:c r="P4" s="450"/>
      <x:c r="Q4" s="450"/>
      <x:c r="R4" s="450"/>
      <x:c r="S4" s="450"/>
      <x:c r="T4" s="450"/>
      <x:c r="U4" s="450"/>
      <x:c r="V4" s="450"/>
      <x:c r="W4" s="450"/>
      <x:c r="X4" s="450"/>
      <x:c r="Y4" s="450"/>
      <x:c r="Z4" s="450"/>
    </x:row>
    <x:row r="5" ht="34" customHeight="1">
      <x:c r="A5" s="502" t="str">
        <x:v>ID_REFERENCIA</x:v>
      </x:c>
      <x:c r="B5" s="502" t="str">
        <x:v>ID_CASO</x:v>
      </x:c>
      <x:c r="C5" s="502" t="str">
        <x:v>ORDEN_EN_CASO</x:v>
      </x:c>
      <x:c r="D5" s="502" t="str">
        <x:v>CUENTA</x:v>
      </x:c>
      <x:c r="E5" s="502" t="str">
        <x:v>CATEGORIA</x:v>
      </x:c>
      <x:c r="F5" s="502" t="str">
        <x:v>CONCEPTO</x:v>
      </x:c>
      <x:c r="G5" s="502" t="str">
        <x:v>BASE_CALCULO</x:v>
      </x:c>
      <x:c r="H5" s="502" t="str">
        <x:v>UNIDAD</x:v>
      </x:c>
      <x:c r="I5" s="502" t="str">
        <x:v>ANIO_DESDE_EVENTO</x:v>
      </x:c>
      <x:c r="J5" s="502" t="str">
        <x:v>CANTIDAD_BAJA_DEMO</x:v>
      </x:c>
      <x:c r="K5" s="502" t="str">
        <x:v>CANTIDAD_CENTRAL_DEMO</x:v>
      </x:c>
      <x:c r="L5" s="502" t="str">
        <x:v>CANTIDAD_ALTA_DEMO</x:v>
      </x:c>
      <x:c r="M5" s="502" t="str">
        <x:v>COSTO_UNITARIO_BAJO_USD</x:v>
      </x:c>
      <x:c r="N5" s="502" t="str">
        <x:v>COSTO_UNITARIO_CENTRAL_USD</x:v>
      </x:c>
      <x:c r="O5" s="502" t="str">
        <x:v>COSTO_UNITARIO_ALTO_USD</x:v>
      </x:c>
      <x:c r="P5" s="502" t="str">
        <x:v>TIPO_EVIDENCIA_ORIGINAL</x:v>
      </x:c>
      <x:c r="Q5" s="502" t="str">
        <x:v>NIVEL_EVIDENCIA</x:v>
      </x:c>
      <x:c r="R5" s="502" t="str">
        <x:v>NEXO_CAUSAL</x:v>
      </x:c>
      <x:c r="S5" s="502" t="str">
        <x:v>ESTADO_DATO_PREDETERMINADO</x:v>
      </x:c>
      <x:c r="T5" s="502" t="str">
        <x:v>TIPO_FUENTE</x:v>
      </x:c>
      <x:c r="U5" s="502" t="str">
        <x:v>N_CASOS</x:v>
      </x:c>
      <x:c r="V5" s="502" t="str">
        <x:v>ESTADISTICO</x:v>
      </x:c>
      <x:c r="W5" s="502" t="str">
        <x:v>PERIODO_REFERENCIA</x:v>
      </x:c>
      <x:c r="X5" s="502" t="str">
        <x:v>FUENTE_DEMO</x:v>
      </x:c>
      <x:c r="Y5" s="502" t="str">
        <x:v>GRUPO_DOBLE_CONTEO</x:v>
      </x:c>
      <x:c r="Z5" s="502" t="str">
        <x:v>NOTAS</x:v>
      </x:c>
    </x:row>
    <x:row r="6">
      <x:c r="A6" s="504" t="str">
        <x:v>VDEP-EJ01-C01</x:v>
      </x:c>
      <x:c r="B6" s="504" t="str">
        <x:v>VDEP-EJ01</x:v>
      </x:c>
      <x:c r="C6" s="504" t="n">
        <x:v>1</x:v>
      </x:c>
      <x:c r="D6" s="450" t="str">
        <x:v>C</x:v>
      </x:c>
      <x:c r="E6" s="450" t="str">
        <x:v>Respuesta pública</x:v>
      </x:c>
      <x:c r="F6" s="450" t="str">
        <x:v>Respuesta pública</x:v>
      </x:c>
      <x:c r="G6" s="450" t="str">
        <x:v>Operativo, traslado y acta ya documentados</x:v>
      </x:c>
      <x:c r="H6" s="450" t="str">
        <x:v>caso</x:v>
      </x:c>
      <x:c r="I6" s="450" t="n">
        <x:v>0</x:v>
      </x:c>
      <x:c r="J6" s="450" t="n">
        <x:v>1</x:v>
      </x:c>
      <x:c r="K6" s="450" t="n">
        <x:v>1</x:v>
      </x:c>
      <x:c r="L6" s="450" t="n">
        <x:v>1</x:v>
      </x:c>
      <x:c r="M6" s="451" t="n">
        <x:v>210000</x:v>
      </x:c>
      <x:c r="N6" s="451" t="n">
        <x:v>210000</x:v>
      </x:c>
      <x:c r="O6" s="451" t="n">
        <x:v>210000</x:v>
      </x:c>
      <x:c r="P6" s="450" t="str">
        <x:v>Dato observado</x:v>
      </x:c>
      <x:c r="Q6" s="450" t="str">
        <x:v>A</x:v>
      </x:c>
      <x:c r="R6" s="450" t="str">
        <x:v>Sí</x:v>
      </x:c>
      <x:c r="S6" s="450" t="str">
        <x:v>Observado</x:v>
      </x:c>
      <x:c r="T6" s="450" t="str">
        <x:v>Dato del expediente</x:v>
      </x:c>
      <x:c r="U6" s="450"/>
      <x:c r="V6" s="450" t="str">
        <x:v>Monto observado</x:v>
      </x:c>
      <x:c r="W6" s="450" t="str">
        <x:v>septiembre de 2026</x:v>
      </x:c>
      <x:c r="X6" s="450" t="str">
        <x:v>Producto 2.1.2, Anexo técnico de ejemplos aplicados VDEP, Ejemplo 1, pp. 4 (septiembre de 2026)</x:v>
      </x:c>
      <x:c r="Y6" s="450" t="str"/>
      <x:c r="Z6" s="450" t="str"/>
    </x:row>
    <x:row r="7">
      <x:c r="A7" s="504" t="str">
        <x:v>VDEP-EJ01-D01</x:v>
      </x:c>
      <x:c r="B7" s="504" t="str">
        <x:v>VDEP-EJ01</x:v>
      </x:c>
      <x:c r="C7" s="504" t="n">
        <x:v>2</x:v>
      </x:c>
      <x:c r="D7" s="450" t="str">
        <x:v>D</x:v>
      </x:c>
      <x:c r="E7" s="450" t="str">
        <x:v>Rescate/cuidado</x:v>
      </x:c>
      <x:c r="F7" s="450" t="str">
        <x:v>Rescate/cuidado</x:v>
      </x:c>
      <x:c r="G7" s="450" t="str">
        <x:v>2 × días esperados × CRC 5.000/día-animal</x:v>
      </x:c>
      <x:c r="H7" s="450" t="str">
        <x:v>caso</x:v>
      </x:c>
      <x:c r="I7" s="450" t="n">
        <x:v>0</x:v>
      </x:c>
      <x:c r="J7" s="450" t="n">
        <x:v>1</x:v>
      </x:c>
      <x:c r="K7" s="450" t="n">
        <x:v>1</x:v>
      </x:c>
      <x:c r="L7" s="450" t="n">
        <x:v>1</x:v>
      </x:c>
      <x:c r="M7" s="451" t="n">
        <x:v>100000</x:v>
      </x:c>
      <x:c r="N7" s="451" t="n">
        <x:v>140000</x:v>
      </x:c>
      <x:c r="O7" s="451" t="n">
        <x:v>210000</x:v>
      </x:c>
      <x:c r="P7" s="450" t="str">
        <x:v>Base histórica</x:v>
      </x:c>
      <x:c r="Q7" s="450" t="str">
        <x:v>B</x:v>
      </x:c>
      <x:c r="R7" s="450" t="str">
        <x:v>Sí</x:v>
      </x:c>
      <x:c r="S7" s="450" t="str">
        <x:v>Estimado</x:v>
      </x:c>
      <x:c r="T7" s="450" t="str">
        <x:v>Base histórica comparable</x:v>
      </x:c>
      <x:c r="U7" s="450" t="n">
        <x:v>42</x:v>
      </x:c>
      <x:c r="V7" s="450" t="str">
        <x:v>P25=10, mediana=14, P75=21 días</x:v>
      </x:c>
      <x:c r="W7" s="450" t="str">
        <x:v>septiembre de 2026</x:v>
      </x:c>
      <x:c r="X7" s="450" t="str">
        <x:v>Producto 2.1.2, Anexo técnico de ejemplos aplicados VDEP, Ejemplo 1, pp. 3–4 (septiembre de 2026)</x:v>
      </x:c>
      <x:c r="Y7" s="450" t="str"/>
      <x:c r="Z7" s="450" t="str">
        <x:v>Costo mediano CRC 5.000 por día-animal.</x:v>
      </x:c>
    </x:row>
    <x:row r="8">
      <x:c r="A8" s="504" t="str">
        <x:v>VDEP-EJ01-R01</x:v>
      </x:c>
      <x:c r="B8" s="504" t="str">
        <x:v>VDEP-EJ01</x:v>
      </x:c>
      <x:c r="C8" s="504" t="n">
        <x:v>3</x:v>
      </x:c>
      <x:c r="D8" s="450" t="str">
        <x:v>R</x:v>
      </x:c>
      <x:c r="E8" s="450" t="str">
        <x:v>Liberación/seguimiento</x:v>
      </x:c>
      <x:c r="F8" s="450" t="str">
        <x:v>Liberación/seguimiento</x:v>
      </x:c>
      <x:c r="G8" s="450" t="str">
        <x:v>Costo histórico comparable de liberación y control inicial</x:v>
      </x:c>
      <x:c r="H8" s="450" t="str">
        <x:v>caso</x:v>
      </x:c>
      <x:c r="I8" s="450" t="n">
        <x:v>0</x:v>
      </x:c>
      <x:c r="J8" s="450" t="n">
        <x:v>1</x:v>
      </x:c>
      <x:c r="K8" s="450" t="n">
        <x:v>1</x:v>
      </x:c>
      <x:c r="L8" s="450" t="n">
        <x:v>1</x:v>
      </x:c>
      <x:c r="M8" s="451" t="n">
        <x:v>90000</x:v>
      </x:c>
      <x:c r="N8" s="451" t="n">
        <x:v>120000</x:v>
      </x:c>
      <x:c r="O8" s="451" t="n">
        <x:v>160000</x:v>
      </x:c>
      <x:c r="P8" s="450" t="str">
        <x:v>Base histórica</x:v>
      </x:c>
      <x:c r="Q8" s="450" t="str">
        <x:v>B</x:v>
      </x:c>
      <x:c r="R8" s="450" t="str">
        <x:v>Sí</x:v>
      </x:c>
      <x:c r="S8" s="450" t="str">
        <x:v>Estimado</x:v>
      </x:c>
      <x:c r="T8" s="450" t="str">
        <x:v>Base histórica comparable</x:v>
      </x:c>
      <x:c r="U8" s="450" t="n">
        <x:v>42</x:v>
      </x:c>
      <x:c r="V8" s="450" t="str">
        <x:v>Rango histórico didáctico</x:v>
      </x:c>
      <x:c r="W8" s="450" t="str">
        <x:v>septiembre de 2026</x:v>
      </x:c>
      <x:c r="X8" s="450" t="str">
        <x:v>Producto 2.1.2, Anexo técnico de ejemplos aplicados VDEP, Ejemplo 1, pp. 4 (septiembre de 2026)</x:v>
      </x:c>
      <x:c r="Y8" s="450" t="str"/>
      <x:c r="Z8" s="450" t="str">
        <x:v>Compatible en el total del ejemplo.</x:v>
      </x:c>
    </x:row>
    <x:row r="9">
      <x:c r="A9" s="504" t="str">
        <x:v>VDEP-EJ02-C01</x:v>
      </x:c>
      <x:c r="B9" s="504" t="str">
        <x:v>VDEP-EJ02</x:v>
      </x:c>
      <x:c r="C9" s="504" t="n">
        <x:v>1</x:v>
      </x:c>
      <x:c r="D9" s="450" t="str">
        <x:v>C</x:v>
      </x:c>
      <x:c r="E9" s="450" t="str">
        <x:v>Respuesta pública</x:v>
      </x:c>
      <x:c r="F9" s="450" t="str">
        <x:v>Respuesta pública</x:v>
      </x:c>
      <x:c r="G9" s="450" t="str">
        <x:v>Investigación, peritaje, traslado y custodia inicial</x:v>
      </x:c>
      <x:c r="H9" s="450" t="str">
        <x:v>caso</x:v>
      </x:c>
      <x:c r="I9" s="450" t="n">
        <x:v>0</x:v>
      </x:c>
      <x:c r="J9" s="450" t="n">
        <x:v>1</x:v>
      </x:c>
      <x:c r="K9" s="450" t="n">
        <x:v>1</x:v>
      </x:c>
      <x:c r="L9" s="450" t="n">
        <x:v>1</x:v>
      </x:c>
      <x:c r="M9" s="451" t="n">
        <x:v>650000</x:v>
      </x:c>
      <x:c r="N9" s="451" t="n">
        <x:v>650000</x:v>
      </x:c>
      <x:c r="O9" s="451" t="n">
        <x:v>650000</x:v>
      </x:c>
      <x:c r="P9" s="450" t="str">
        <x:v>Costos observados</x:v>
      </x:c>
      <x:c r="Q9" s="450" t="str">
        <x:v>A</x:v>
      </x:c>
      <x:c r="R9" s="450" t="str">
        <x:v>Sí</x:v>
      </x:c>
      <x:c r="S9" s="450" t="str">
        <x:v>Observado</x:v>
      </x:c>
      <x:c r="T9" s="450" t="str">
        <x:v>Dato del expediente</x:v>
      </x:c>
      <x:c r="U9" s="450"/>
      <x:c r="V9" s="450" t="str">
        <x:v>Monto observado</x:v>
      </x:c>
      <x:c r="W9" s="450" t="str">
        <x:v>septiembre de 2026</x:v>
      </x:c>
      <x:c r="X9" s="450" t="str">
        <x:v>Producto 2.1.2, Anexo técnico de ejemplos aplicados VDEP, Ejemplo 2, pp. 6 (septiembre de 2026)</x:v>
      </x:c>
      <x:c r="Y9" s="450" t="str"/>
      <x:c r="Z9" s="450" t="str"/>
    </x:row>
    <x:row r="10">
      <x:c r="A10" s="504" t="str">
        <x:v>VDEP-EJ02-D01</x:v>
      </x:c>
      <x:c r="B10" s="504" t="str">
        <x:v>VDEP-EJ02</x:v>
      </x:c>
      <x:c r="C10" s="504" t="n">
        <x:v>2</x:v>
      </x:c>
      <x:c r="D10" s="450" t="str">
        <x:v>D</x:v>
      </x:c>
      <x:c r="E10" s="450" t="str">
        <x:v>Atención inmediata</x:v>
      </x:c>
      <x:c r="F10" s="450" t="str">
        <x:v>Atención inmediata</x:v>
      </x:c>
      <x:c r="G10" s="450" t="str">
        <x:v>Clínica, cuarentena y adaptación inicial</x:v>
      </x:c>
      <x:c r="H10" s="450" t="str">
        <x:v>caso</x:v>
      </x:c>
      <x:c r="I10" s="450" t="n">
        <x:v>0</x:v>
      </x:c>
      <x:c r="J10" s="450" t="n">
        <x:v>1</x:v>
      </x:c>
      <x:c r="K10" s="450" t="n">
        <x:v>1</x:v>
      </x:c>
      <x:c r="L10" s="450" t="n">
        <x:v>1</x:v>
      </x:c>
      <x:c r="M10" s="451" t="n">
        <x:v>900000</x:v>
      </x:c>
      <x:c r="N10" s="451" t="n">
        <x:v>900000</x:v>
      </x:c>
      <x:c r="O10" s="451" t="n">
        <x:v>900000</x:v>
      </x:c>
      <x:c r="P10" s="450" t="str">
        <x:v>Costos observados/estimados</x:v>
      </x:c>
      <x:c r="Q10" s="450" t="str">
        <x:v>B</x:v>
      </x:c>
      <x:c r="R10" s="450" t="str">
        <x:v>Sí</x:v>
      </x:c>
      <x:c r="S10" s="450" t="str">
        <x:v>Estimado</x:v>
      </x:c>
      <x:c r="T10" s="450" t="str">
        <x:v>Dato del expediente</x:v>
      </x:c>
      <x:c r="U10" s="450"/>
      <x:c r="V10" s="450" t="str">
        <x:v>Monto del ejemplo</x:v>
      </x:c>
      <x:c r="W10" s="450" t="str">
        <x:v>septiembre de 2026</x:v>
      </x:c>
      <x:c r="X10" s="450" t="str">
        <x:v>Producto 2.1.2, Anexo técnico de ejemplos aplicados VDEP, Ejemplo 2, pp. 6 (septiembre de 2026)</x:v>
      </x:c>
      <x:c r="Y10" s="450" t="str"/>
      <x:c r="Z10" s="450" t="str"/>
    </x:row>
    <x:row r="11">
      <x:c r="A11" s="504" t="str">
        <x:v>VDEP-EJ02-D02</x:v>
      </x:c>
      <x:c r="B11" s="504" t="str">
        <x:v>VDEP-EJ02</x:v>
      </x:c>
      <x:c r="C11" s="504" t="n">
        <x:v>3</x:v>
      </x:c>
      <x:c r="D11" s="450" t="str">
        <x:v>D</x:v>
      </x:c>
      <x:c r="E11" s="450" t="str">
        <x:v>Cuidado futuro</x:v>
      </x:c>
      <x:c r="F11" s="450" t="str">
        <x:v>Cuidado futuro</x:v>
      </x:c>
      <x:c r="G11" s="450" t="str">
        <x:v>Valor presente de CRC 2,4 millones/año al 3 % durante 12 / 15 / 18 años</x:v>
      </x:c>
      <x:c r="H11" s="450" t="str">
        <x:v>caso</x:v>
      </x:c>
      <x:c r="I11" s="450" t="n">
        <x:v>0</x:v>
      </x:c>
      <x:c r="J11" s="450" t="n">
        <x:v>1</x:v>
      </x:c>
      <x:c r="K11" s="450" t="n">
        <x:v>1</x:v>
      </x:c>
      <x:c r="L11" s="450" t="n">
        <x:v>1</x:v>
      </x:c>
      <x:c r="M11" s="451" t="n">
        <x:v>23890000</x:v>
      </x:c>
      <x:c r="N11" s="451" t="n">
        <x:v>28651000</x:v>
      </x:c>
      <x:c r="O11" s="451" t="n">
        <x:v>33008000</x:v>
      </x:c>
      <x:c r="P11" s="450" t="str">
        <x:v>Base histórica + descuento</x:v>
      </x:c>
      <x:c r="Q11" s="450" t="str">
        <x:v>B</x:v>
      </x:c>
      <x:c r="R11" s="450" t="str">
        <x:v>Sí</x:v>
      </x:c>
      <x:c r="S11" s="450" t="str">
        <x:v>Estimado</x:v>
      </x:c>
      <x:c r="T11" s="450" t="str">
        <x:v>Base histórica comparable</x:v>
      </x:c>
      <x:c r="U11" s="450"/>
      <x:c r="V11" s="450" t="str">
        <x:v>Horizonte 12/15/18; tasa 3 %</x:v>
      </x:c>
      <x:c r="W11" s="450" t="str">
        <x:v>septiembre de 2026</x:v>
      </x:c>
      <x:c r="X11" s="450" t="str">
        <x:v>Producto 2.1.2, Anexo técnico de ejemplos aplicados VDEP, Ejemplo 2, pp. 5–6 (septiembre de 2026)</x:v>
      </x:c>
      <x:c r="Y11" s="450" t="str"/>
      <x:c r="Z11" s="450" t="str">
        <x:v>El valor presente ya está calculado por el anexo; no volver a descontar.</x:v>
      </x:c>
    </x:row>
    <x:row r="12">
      <x:c r="A12" s="504" t="str">
        <x:v>VDEP-EJ02-E01</x:v>
      </x:c>
      <x:c r="B12" s="504" t="str">
        <x:v>VDEP-EJ02</x:v>
      </x:c>
      <x:c r="C12" s="504" t="n">
        <x:v>4</x:v>
      </x:c>
      <x:c r="D12" s="450" t="str">
        <x:v>E</x:v>
      </x:c>
      <x:c r="E12" s="450" t="str">
        <x:v>Efecto conexo</x:v>
      </x:c>
      <x:c r="F12" s="450" t="str">
        <x:v>Efecto conexo</x:v>
      </x:c>
      <x:c r="G12" s="450" t="str">
        <x:v>Ingreso neto perdido por cierre temporal</x:v>
      </x:c>
      <x:c r="H12" s="450" t="str">
        <x:v>caso</x:v>
      </x:c>
      <x:c r="I12" s="450" t="n">
        <x:v>0</x:v>
      </x:c>
      <x:c r="J12" s="450" t="n">
        <x:v>1</x:v>
      </x:c>
      <x:c r="K12" s="450" t="n">
        <x:v>1</x:v>
      </x:c>
      <x:c r="L12" s="450" t="n">
        <x:v>1</x:v>
      </x:c>
      <x:c r="M12" s="451" t="n">
        <x:v>1800000</x:v>
      </x:c>
      <x:c r="N12" s="451" t="n">
        <x:v>1800000</x:v>
      </x:c>
      <x:c r="O12" s="451" t="n">
        <x:v>1800000</x:v>
      </x:c>
      <x:c r="P12" s="450" t="str">
        <x:v>Dato probado</x:v>
      </x:c>
      <x:c r="Q12" s="450" t="str">
        <x:v>A</x:v>
      </x:c>
      <x:c r="R12" s="450" t="str">
        <x:v>Sí</x:v>
      </x:c>
      <x:c r="S12" s="450" t="str">
        <x:v>Observado</x:v>
      </x:c>
      <x:c r="T12" s="450" t="str">
        <x:v>Dato del expediente</x:v>
      </x:c>
      <x:c r="U12" s="450"/>
      <x:c r="V12" s="450" t="str">
        <x:v>Ingreso neto documentado</x:v>
      </x:c>
      <x:c r="W12" s="450" t="str">
        <x:v>septiembre de 2026</x:v>
      </x:c>
      <x:c r="X12" s="450" t="str">
        <x:v>Producto 2.1.2, Anexo técnico de ejemplos aplicados VDEP, Ejemplo 2, pp. 6 (septiembre de 2026)</x:v>
      </x:c>
      <x:c r="Y12" s="450" t="str"/>
      <x:c r="Z12" s="450" t="str"/>
    </x:row>
    <x:row r="13">
      <x:c r="A13" s="504" t="str">
        <x:v>VDEP-EJ02-R01</x:v>
      </x:c>
      <x:c r="B13" s="504" t="str">
        <x:v>VDEP-EJ02</x:v>
      </x:c>
      <x:c r="C13" s="504" t="n">
        <x:v>5</x:v>
      </x:c>
      <x:c r="D13" s="450" t="str">
        <x:v>R</x:v>
      </x:c>
      <x:c r="E13" s="450" t="str">
        <x:v>Equivalencia individual</x:v>
      </x:c>
      <x:c r="F13" s="450" t="str">
        <x:v>Equivalencia individual</x:v>
      </x:c>
      <x:c r="G13" s="450" t="str">
        <x:v>Costo de producir un individuo funcional equivalente</x:v>
      </x:c>
      <x:c r="H13" s="450" t="str">
        <x:v>caso</x:v>
      </x:c>
      <x:c r="I13" s="450" t="n">
        <x:v>0</x:v>
      </x:c>
      <x:c r="J13" s="450" t="n">
        <x:v>1</x:v>
      </x:c>
      <x:c r="K13" s="450" t="n">
        <x:v>1</x:v>
      </x:c>
      <x:c r="L13" s="450" t="n">
        <x:v>1</x:v>
      </x:c>
      <x:c r="M13" s="451" t="n">
        <x:v>3800000</x:v>
      </x:c>
      <x:c r="N13" s="451" t="n">
        <x:v>4500000</x:v>
      </x:c>
      <x:c r="O13" s="451" t="n">
        <x:v>5400000</x:v>
      </x:c>
      <x:c r="P13" s="450" t="str">
        <x:v>Programas comparables</x:v>
      </x:c>
      <x:c r="Q13" s="450" t="str">
        <x:v>B</x:v>
      </x:c>
      <x:c r="R13" s="450" t="str">
        <x:v>Sí</x:v>
      </x:c>
      <x:c r="S13" s="450" t="str">
        <x:v>Estimado</x:v>
      </x:c>
      <x:c r="T13" s="450" t="str">
        <x:v>Estudio comparable</x:v>
      </x:c>
      <x:c r="U13" s="450"/>
      <x:c r="V13" s="450" t="str">
        <x:v>Rango de programas</x:v>
      </x:c>
      <x:c r="W13" s="450" t="str">
        <x:v>septiembre de 2026</x:v>
      </x:c>
      <x:c r="X13" s="450" t="str">
        <x:v>Producto 2.1.2, Anexo técnico de ejemplos aplicados VDEP, Ejemplo 2, pp. 6 (septiembre de 2026)</x:v>
      </x:c>
      <x:c r="Y13" s="450" t="str"/>
      <x:c r="Z13" s="450" t="str">
        <x:v>No sumar con una R ejecutada que produzca la misma equivalencia.</x:v>
      </x:c>
    </x:row>
    <x:row r="14">
      <x:c r="A14" s="504" t="str">
        <x:v>VDEP-EJ03-R01</x:v>
      </x:c>
      <x:c r="B14" s="504" t="str">
        <x:v>VDEP-EJ03</x:v>
      </x:c>
      <x:c r="C14" s="504" t="n">
        <x:v>1</x:v>
      </x:c>
      <x:c r="D14" s="450" t="str">
        <x:v>R</x:v>
      </x:c>
      <x:c r="E14" s="450" t="str">
        <x:v>Precio sombra</x:v>
      </x:c>
      <x:c r="F14" s="450" t="str">
        <x:v>Precio sombra</x:v>
      </x:c>
      <x:c r="G14" s="450" t="str">
        <x:v>Costo del programa / adultos funcionales adicionales</x:v>
      </x:c>
      <x:c r="H14" s="450" t="str">
        <x:v>caso</x:v>
      </x:c>
      <x:c r="I14" s="450" t="n">
        <x:v>0</x:v>
      </x:c>
      <x:c r="J14" s="450" t="n">
        <x:v>1</x:v>
      </x:c>
      <x:c r="K14" s="450" t="n">
        <x:v>1</x:v>
      </x:c>
      <x:c r="L14" s="450" t="n">
        <x:v>1</x:v>
      </x:c>
      <x:c r="M14" s="451" t="n">
        <x:v>8000000</x:v>
      </x:c>
      <x:c r="N14" s="451" t="n">
        <x:v>10000000</x:v>
      </x:c>
      <x:c r="O14" s="451" t="n">
        <x:v>13125000</x:v>
      </x:c>
      <x:c r="P14" s="450" t="str">
        <x:v>Programa comparable</x:v>
      </x:c>
      <x:c r="Q14" s="450" t="str">
        <x:v>B</x:v>
      </x:c>
      <x:c r="R14" s="450" t="str">
        <x:v>Sí</x:v>
      </x:c>
      <x:c r="S14" s="450" t="str">
        <x:v>Estimado</x:v>
      </x:c>
      <x:c r="T14" s="450" t="str">
        <x:v>Estudio comparable</x:v>
      </x:c>
      <x:c r="U14" s="450" t="n">
        <x:v>9</x:v>
      </x:c>
      <x:c r="V14" s="450" t="str">
        <x:v>CRC 90 millones / 9 adultos en el escenario central</x:v>
      </x:c>
      <x:c r="W14" s="450" t="str">
        <x:v>septiembre de 2026</x:v>
      </x:c>
      <x:c r="X14" s="450" t="str">
        <x:v>Producto 2.1.2, Anexo técnico de ejemplos aplicados VDEP, Ejemplo 3, pp. 8–9 (septiembre de 2026)</x:v>
      </x:c>
      <x:c r="Y14" s="450" t="str"/>
      <x:c r="Z14" s="450" t="str">
        <x:v>Equivalencia funcional, no precio comercial.</x:v>
      </x:c>
    </x:row>
    <x:row r="15">
      <x:c r="A15" s="504" t="str">
        <x:v>VDEP-EJ03-B01</x:v>
      </x:c>
      <x:c r="B15" s="504" t="str">
        <x:v>VDEP-EJ03</x:v>
      </x:c>
      <x:c r="C15" s="504" t="n">
        <x:v>2</x:v>
      </x:c>
      <x:c r="D15" s="450" t="str">
        <x:v>B</x:v>
      </x:c>
      <x:c r="E15" s="450" t="str">
        <x:v>Servicio interino</x:v>
      </x:c>
      <x:c r="F15" s="450" t="str">
        <x:v>Servicio interino</x:v>
      </x:c>
      <x:c r="G15" s="450" t="str">
        <x:v>Transferencia ajustada de pérdida funcional durante recuperación</x:v>
      </x:c>
      <x:c r="H15" s="450" t="str">
        <x:v>caso</x:v>
      </x:c>
      <x:c r="I15" s="450" t="n">
        <x:v>0</x:v>
      </x:c>
      <x:c r="J15" s="450" t="n">
        <x:v>1</x:v>
      </x:c>
      <x:c r="K15" s="450" t="n">
        <x:v>1</x:v>
      </x:c>
      <x:c r="L15" s="450" t="n">
        <x:v>1</x:v>
      </x:c>
      <x:c r="M15" s="451" t="n">
        <x:v>1200000</x:v>
      </x:c>
      <x:c r="N15" s="451" t="n">
        <x:v>1800000</x:v>
      </x:c>
      <x:c r="O15" s="451" t="n">
        <x:v>2400000</x:v>
      </x:c>
      <x:c r="P15" s="450" t="str">
        <x:v>Estudios comparables</x:v>
      </x:c>
      <x:c r="Q15" s="450" t="str">
        <x:v>B</x:v>
      </x:c>
      <x:c r="R15" s="450" t="str">
        <x:v>Sí</x:v>
      </x:c>
      <x:c r="S15" s="450" t="str">
        <x:v>Estimado</x:v>
      </x:c>
      <x:c r="T15" s="450" t="str">
        <x:v>Estudio comparable</x:v>
      </x:c>
      <x:c r="U15" s="450"/>
      <x:c r="V15" s="450" t="str">
        <x:v>Transferencia ajustada</x:v>
      </x:c>
      <x:c r="W15" s="450" t="str">
        <x:v>septiembre de 2026</x:v>
      </x:c>
      <x:c r="X15" s="450" t="str">
        <x:v>Producto 2.1.2, Anexo técnico de ejemplos aplicados VDEP, Ejemplo 3, pp. 9 (septiembre de 2026)</x:v>
      </x:c>
      <x:c r="Y15" s="450" t="str"/>
      <x:c r="Z15" s="450" t="str"/>
    </x:row>
    <x:row r="16">
      <x:c r="A16" s="504" t="str">
        <x:v>VDEP-EJ03-C01</x:v>
      </x:c>
      <x:c r="B16" s="504" t="str">
        <x:v>VDEP-EJ03</x:v>
      </x:c>
      <x:c r="C16" s="504" t="n">
        <x:v>3</x:v>
      </x:c>
      <x:c r="D16" s="450" t="str">
        <x:v>C</x:v>
      </x:c>
      <x:c r="E16" s="450" t="str">
        <x:v>Respuesta pública</x:v>
      </x:c>
      <x:c r="F16" s="450" t="str">
        <x:v>Respuesta pública</x:v>
      </x:c>
      <x:c r="G16" s="450" t="str">
        <x:v>Investigación, necropsia y peritaje</x:v>
      </x:c>
      <x:c r="H16" s="450" t="str">
        <x:v>caso</x:v>
      </x:c>
      <x:c r="I16" s="450" t="n">
        <x:v>0</x:v>
      </x:c>
      <x:c r="J16" s="450" t="n">
        <x:v>1</x:v>
      </x:c>
      <x:c r="K16" s="450" t="n">
        <x:v>1</x:v>
      </x:c>
      <x:c r="L16" s="450" t="n">
        <x:v>1</x:v>
      </x:c>
      <x:c r="M16" s="451" t="n">
        <x:v>320000</x:v>
      </x:c>
      <x:c r="N16" s="451" t="n">
        <x:v>320000</x:v>
      </x:c>
      <x:c r="O16" s="451" t="n">
        <x:v>320000</x:v>
      </x:c>
      <x:c r="P16" s="450" t="str">
        <x:v>Dato observado</x:v>
      </x:c>
      <x:c r="Q16" s="450" t="str">
        <x:v>A</x:v>
      </x:c>
      <x:c r="R16" s="450" t="str">
        <x:v>Sí</x:v>
      </x:c>
      <x:c r="S16" s="450" t="str">
        <x:v>Observado</x:v>
      </x:c>
      <x:c r="T16" s="450" t="str">
        <x:v>Dato del expediente</x:v>
      </x:c>
      <x:c r="U16" s="450"/>
      <x:c r="V16" s="450" t="str">
        <x:v>Monto observado</x:v>
      </x:c>
      <x:c r="W16" s="450" t="str">
        <x:v>septiembre de 2026</x:v>
      </x:c>
      <x:c r="X16" s="450" t="str">
        <x:v>Producto 2.1.2, Anexo técnico de ejemplos aplicados VDEP, Ejemplo 3, pp. 9 (septiembre de 2026)</x:v>
      </x:c>
      <x:c r="Y16" s="450" t="str"/>
      <x:c r="Z16" s="450" t="str"/>
    </x:row>
    <x:row r="17">
      <x:c r="A17" s="504" t="str">
        <x:v>VDEP-EJ04-R01</x:v>
      </x:c>
      <x:c r="B17" s="504" t="str">
        <x:v>VDEP-EJ04</x:v>
      </x:c>
      <x:c r="C17" s="504" t="n">
        <x:v>1</x:v>
      </x:c>
      <x:c r="D17" s="450" t="str">
        <x:v>R</x:v>
      </x:c>
      <x:c r="E17" s="450" t="str">
        <x:v>Equivalencia reproductiva</x:v>
      </x:c>
      <x:c r="F17" s="450" t="str">
        <x:v>Equivalencia reproductiva</x:v>
      </x:c>
      <x:c r="G17" s="450" t="str">
        <x:v>400 × supervivencia × precio sombra adulto-equivalente</x:v>
      </x:c>
      <x:c r="H17" s="450" t="str">
        <x:v>caso</x:v>
      </x:c>
      <x:c r="I17" s="450" t="n">
        <x:v>0</x:v>
      </x:c>
      <x:c r="J17" s="450" t="n">
        <x:v>1</x:v>
      </x:c>
      <x:c r="K17" s="450" t="n">
        <x:v>1</x:v>
      </x:c>
      <x:c r="L17" s="450" t="n">
        <x:v>1</x:v>
      </x:c>
      <x:c r="M17" s="451" t="n">
        <x:v>4500000</x:v>
      </x:c>
      <x:c r="N17" s="451" t="n">
        <x:v>6400000</x:v>
      </x:c>
      <x:c r="O17" s="451" t="n">
        <x:v>8500000</x:v>
      </x:c>
      <x:c r="P17" s="450" t="str">
        <x:v>Parámetros biológicos + equivalencia</x:v>
      </x:c>
      <x:c r="Q17" s="450" t="str">
        <x:v>B</x:v>
      </x:c>
      <x:c r="R17" s="450" t="str">
        <x:v>Sí</x:v>
      </x:c>
      <x:c r="S17" s="450" t="str">
        <x:v>Estimado</x:v>
      </x:c>
      <x:c r="T17" s="450" t="str">
        <x:v>Estudio comparable</x:v>
      </x:c>
      <x:c r="U17" s="450"/>
      <x:c r="V17" s="450" t="str">
        <x:v>0,60/0,80/1,00 adulto-equivalente × CRC 7,5/8/8,5 millones</x:v>
      </x:c>
      <x:c r="W17" s="450" t="str">
        <x:v>septiembre de 2026</x:v>
      </x:c>
      <x:c r="X17" s="450" t="str">
        <x:v>Producto 2.1.2, Anexo técnico de ejemplos aplicados VDEP, Ejemplo 4, pp. 11–12 (septiembre de 2026)</x:v>
      </x:c>
      <x:c r="Y17" s="450" t="str"/>
      <x:c r="Z17" s="450" t="str">
        <x:v>No sumar además un valor directo por 400 huevos.</x:v>
      </x:c>
    </x:row>
    <x:row r="18">
      <x:c r="A18" s="504" t="str">
        <x:v>VDEP-EJ04-C01</x:v>
      </x:c>
      <x:c r="B18" s="504" t="str">
        <x:v>VDEP-EJ04</x:v>
      </x:c>
      <x:c r="C18" s="504" t="n">
        <x:v>2</x:v>
      </x:c>
      <x:c r="D18" s="450" t="str">
        <x:v>C</x:v>
      </x:c>
      <x:c r="E18" s="450" t="str">
        <x:v>Respuesta pública</x:v>
      </x:c>
      <x:c r="F18" s="450" t="str">
        <x:v>Respuesta pública</x:v>
      </x:c>
      <x:c r="G18" s="450" t="str">
        <x:v>Patrullaje, levantamiento y procesamiento</x:v>
      </x:c>
      <x:c r="H18" s="450" t="str">
        <x:v>caso</x:v>
      </x:c>
      <x:c r="I18" s="450" t="n">
        <x:v>0</x:v>
      </x:c>
      <x:c r="J18" s="450" t="n">
        <x:v>1</x:v>
      </x:c>
      <x:c r="K18" s="450" t="n">
        <x:v>1</x:v>
      </x:c>
      <x:c r="L18" s="450" t="n">
        <x:v>1</x:v>
      </x:c>
      <x:c r="M18" s="451" t="n">
        <x:v>700000</x:v>
      </x:c>
      <x:c r="N18" s="451" t="n">
        <x:v>700000</x:v>
      </x:c>
      <x:c r="O18" s="451" t="n">
        <x:v>700000</x:v>
      </x:c>
      <x:c r="P18" s="450" t="str">
        <x:v>Dato observado</x:v>
      </x:c>
      <x:c r="Q18" s="450" t="str">
        <x:v>A</x:v>
      </x:c>
      <x:c r="R18" s="450" t="str">
        <x:v>Sí</x:v>
      </x:c>
      <x:c r="S18" s="450" t="str">
        <x:v>Observado</x:v>
      </x:c>
      <x:c r="T18" s="450" t="str">
        <x:v>Dato del expediente</x:v>
      </x:c>
      <x:c r="U18" s="450"/>
      <x:c r="V18" s="450" t="str">
        <x:v>Monto observado</x:v>
      </x:c>
      <x:c r="W18" s="450" t="str">
        <x:v>septiembre de 2026</x:v>
      </x:c>
      <x:c r="X18" s="450" t="str">
        <x:v>Producto 2.1.2, Anexo técnico de ejemplos aplicados VDEP, Ejemplo 4, pp. 12 (septiembre de 2026)</x:v>
      </x:c>
      <x:c r="Y18" s="450" t="str"/>
      <x:c r="Z18" s="450" t="str"/>
    </x:row>
    <x:row r="19">
      <x:c r="A19" s="504" t="str">
        <x:v>VDEP-EJ05-R01</x:v>
      </x:c>
      <x:c r="B19" s="504" t="str">
        <x:v>VDEP-EJ05</x:v>
      </x:c>
      <x:c r="C19" s="504" t="n">
        <x:v>1</x:v>
      </x:c>
      <x:c r="D19" s="450" t="str">
        <x:v>R</x:v>
      </x:c>
      <x:c r="E19" s="450" t="str">
        <x:v>Restauración</x:v>
      </x:c>
      <x:c r="F19" s="450" t="str">
        <x:v>Restauración</x:v>
      </x:c>
      <x:c r="G19" s="450" t="str">
        <x:v>150 m² × costo de restauración por m²</x:v>
      </x:c>
      <x:c r="H19" s="450" t="str">
        <x:v>caso</x:v>
      </x:c>
      <x:c r="I19" s="450" t="n">
        <x:v>0</x:v>
      </x:c>
      <x:c r="J19" s="450" t="n">
        <x:v>1</x:v>
      </x:c>
      <x:c r="K19" s="450" t="n">
        <x:v>1</x:v>
      </x:c>
      <x:c r="L19" s="450" t="n">
        <x:v>1</x:v>
      </x:c>
      <x:c r="M19" s="451" t="n">
        <x:v>7800000</x:v>
      </x:c>
      <x:c r="N19" s="451" t="n">
        <x:v>9000000</x:v>
      </x:c>
      <x:c r="O19" s="451" t="n">
        <x:v>10500000</x:v>
      </x:c>
      <x:c r="P19" s="450" t="str">
        <x:v>Proyecto comparable</x:v>
      </x:c>
      <x:c r="Q19" s="450" t="str">
        <x:v>B</x:v>
      </x:c>
      <x:c r="R19" s="450" t="str">
        <x:v>Sí</x:v>
      </x:c>
      <x:c r="S19" s="450" t="str">
        <x:v>Estimado</x:v>
      </x:c>
      <x:c r="T19" s="450" t="str">
        <x:v>Estudio comparable</x:v>
      </x:c>
      <x:c r="U19" s="450"/>
      <x:c r="V19" s="450" t="str">
        <x:v>CRC 52.000 / 60.000 / 70.000 por m²</x:v>
      </x:c>
      <x:c r="W19" s="450" t="str">
        <x:v>septiembre de 2026</x:v>
      </x:c>
      <x:c r="X19" s="450" t="str">
        <x:v>Producto 2.1.2, Anexo técnico de ejemplos aplicados VDEP, Ejemplo 5, pp. 13–14 (septiembre de 2026)</x:v>
      </x:c>
      <x:c r="Y19" s="450" t="str"/>
      <x:c r="Z19" s="450" t="str"/>
    </x:row>
    <x:row r="20">
      <x:c r="A20" s="504" t="str">
        <x:v>VDEP-EJ05-B01</x:v>
      </x:c>
      <x:c r="B20" s="504" t="str">
        <x:v>VDEP-EJ05</x:v>
      </x:c>
      <x:c r="C20" s="504" t="n">
        <x:v>2</x:v>
      </x:c>
      <x:c r="D20" s="450" t="str">
        <x:v>B</x:v>
      </x:c>
      <x:c r="E20" s="450" t="str">
        <x:v>Pérdidas interinas</x:v>
      </x:c>
      <x:c r="F20" s="450" t="str">
        <x:v>Pérdidas interinas</x:v>
      </x:c>
      <x:c r="G20" s="450" t="str">
        <x:v>150 m² × valor/m²-año × años de pérdida</x:v>
      </x:c>
      <x:c r="H20" s="450" t="str">
        <x:v>caso</x:v>
      </x:c>
      <x:c r="I20" s="450" t="n">
        <x:v>0</x:v>
      </x:c>
      <x:c r="J20" s="450" t="n">
        <x:v>1</x:v>
      </x:c>
      <x:c r="K20" s="450" t="n">
        <x:v>1</x:v>
      </x:c>
      <x:c r="L20" s="450" t="n">
        <x:v>1</x:v>
      </x:c>
      <x:c r="M20" s="451" t="n">
        <x:v>720000</x:v>
      </x:c>
      <x:c r="N20" s="451" t="n">
        <x:v>1200000</x:v>
      </x:c>
      <x:c r="O20" s="451" t="n">
        <x:v>1800000</x:v>
      </x:c>
      <x:c r="P20" s="450" t="str">
        <x:v>Transferencia de beneficios</x:v>
      </x:c>
      <x:c r="Q20" s="450" t="str">
        <x:v>B</x:v>
      </x:c>
      <x:c r="R20" s="450" t="str">
        <x:v>Sí</x:v>
      </x:c>
      <x:c r="S20" s="450" t="str">
        <x:v>Estimado</x:v>
      </x:c>
      <x:c r="T20" s="450" t="str">
        <x:v>Transferencia de valor unitario</x:v>
      </x:c>
      <x:c r="U20" s="450"/>
      <x:c r="V20" s="450" t="str">
        <x:v>CRC 600/800/1.000 por m²-año × 8/10/12 años</x:v>
      </x:c>
      <x:c r="W20" s="450" t="str">
        <x:v>septiembre de 2026</x:v>
      </x:c>
      <x:c r="X20" s="450" t="str">
        <x:v>Producto 2.1.2, Anexo técnico de ejemplos aplicados VDEP, Ejemplo 5, pp. 13–14 (septiembre de 2026)</x:v>
      </x:c>
      <x:c r="Y20" s="450" t="str"/>
      <x:c r="Z20" s="450" t="str">
        <x:v>B conserva solo la pérdida durante la recuperación.</x:v>
      </x:c>
    </x:row>
    <x:row r="21">
      <x:c r="A21" s="504" t="str">
        <x:v>VDEP-EJ05-C01</x:v>
      </x:c>
      <x:c r="B21" s="504" t="str">
        <x:v>VDEP-EJ05</x:v>
      </x:c>
      <x:c r="C21" s="504" t="n">
        <x:v>3</x:v>
      </x:c>
      <x:c r="D21" s="450" t="str">
        <x:v>C</x:v>
      </x:c>
      <x:c r="E21" s="450" t="str">
        <x:v>Respuesta pública</x:v>
      </x:c>
      <x:c r="F21" s="450" t="str">
        <x:v>Respuesta pública</x:v>
      </x:c>
      <x:c r="G21" s="450" t="str">
        <x:v>Inspección, peritaje y custodia</x:v>
      </x:c>
      <x:c r="H21" s="450" t="str">
        <x:v>caso</x:v>
      </x:c>
      <x:c r="I21" s="450" t="n">
        <x:v>0</x:v>
      </x:c>
      <x:c r="J21" s="450" t="n">
        <x:v>1</x:v>
      </x:c>
      <x:c r="K21" s="450" t="n">
        <x:v>1</x:v>
      </x:c>
      <x:c r="L21" s="450" t="n">
        <x:v>1</x:v>
      </x:c>
      <x:c r="M21" s="451" t="n">
        <x:v>450000</x:v>
      </x:c>
      <x:c r="N21" s="451" t="n">
        <x:v>450000</x:v>
      </x:c>
      <x:c r="O21" s="451" t="n">
        <x:v>450000</x:v>
      </x:c>
      <x:c r="P21" s="450" t="str">
        <x:v>Dato observado</x:v>
      </x:c>
      <x:c r="Q21" s="450" t="str">
        <x:v>A</x:v>
      </x:c>
      <x:c r="R21" s="450" t="str">
        <x:v>Sí</x:v>
      </x:c>
      <x:c r="S21" s="450" t="str">
        <x:v>Observado</x:v>
      </x:c>
      <x:c r="T21" s="450" t="str">
        <x:v>Dato del expediente</x:v>
      </x:c>
      <x:c r="U21" s="450"/>
      <x:c r="V21" s="450" t="str">
        <x:v>Monto observado</x:v>
      </x:c>
      <x:c r="W21" s="450" t="str">
        <x:v>septiembre de 2026</x:v>
      </x:c>
      <x:c r="X21" s="450" t="str">
        <x:v>Producto 2.1.2, Anexo técnico de ejemplos aplicados VDEP, Ejemplo 5, pp. 14 (septiembre de 2026)</x:v>
      </x:c>
      <x:c r="Y21" s="450" t="str"/>
      <x:c r="Z21" s="450" t="str"/>
    </x:row>
    <x:row r="22">
      <x:c r="A22" s="504" t="str">
        <x:v>VDEP-EJ06-R01</x:v>
      </x:c>
      <x:c r="B22" s="504" t="str">
        <x:v>VDEP-EJ06</x:v>
      </x:c>
      <x:c r="C22" s="504" t="n">
        <x:v>1</x:v>
      </x:c>
      <x:c r="D22" s="450" t="str">
        <x:v>R</x:v>
      </x:c>
      <x:c r="E22" s="450" t="str">
        <x:v>Reintroducción/equivalencia</x:v>
      </x:c>
      <x:c r="F22" s="450" t="str">
        <x:v>Reintroducción/equivalencia</x:v>
      </x:c>
      <x:c r="G22" s="450" t="str">
        <x:v>50 plantas × costo por planta establecida</x:v>
      </x:c>
      <x:c r="H22" s="450" t="str">
        <x:v>caso</x:v>
      </x:c>
      <x:c r="I22" s="450" t="n">
        <x:v>0</x:v>
      </x:c>
      <x:c r="J22" s="450" t="n">
        <x:v>1</x:v>
      </x:c>
      <x:c r="K22" s="450" t="n">
        <x:v>1</x:v>
      </x:c>
      <x:c r="L22" s="450" t="n">
        <x:v>1</x:v>
      </x:c>
      <x:c r="M22" s="451" t="n">
        <x:v>2500000</x:v>
      </x:c>
      <x:c r="N22" s="451" t="n">
        <x:v>3000000</x:v>
      </x:c>
      <x:c r="O22" s="451" t="n">
        <x:v>3500000</x:v>
      </x:c>
      <x:c r="P22" s="450" t="str">
        <x:v>Programa comparable</x:v>
      </x:c>
      <x:c r="Q22" s="450" t="str">
        <x:v>B</x:v>
      </x:c>
      <x:c r="R22" s="450" t="str">
        <x:v>Sí</x:v>
      </x:c>
      <x:c r="S22" s="450" t="str">
        <x:v>Estimado</x:v>
      </x:c>
      <x:c r="T22" s="450" t="str">
        <x:v>Estudio comparable</x:v>
      </x:c>
      <x:c r="U22" s="450"/>
      <x:c r="V22" s="450" t="str">
        <x:v>CRC 50.000 / 60.000 / 70.000 por planta</x:v>
      </x:c>
      <x:c r="W22" s="450" t="str">
        <x:v>septiembre de 2026</x:v>
      </x:c>
      <x:c r="X22" s="450" t="str">
        <x:v>Producto 2.1.2, Anexo técnico de ejemplos aplicados VDEP, Ejemplo 6, pp. 15–16 (septiembre de 2026)</x:v>
      </x:c>
      <x:c r="Y22" s="450" t="str"/>
      <x:c r="Z22" s="450" t="str">
        <x:v>Usar una sola ruta monetaria si R representa la misma equivalencia de F.</x:v>
      </x:c>
    </x:row>
    <x:row r="23">
      <x:c r="A23" s="504" t="str">
        <x:v>VDEP-EJ06-C01</x:v>
      </x:c>
      <x:c r="B23" s="504" t="str">
        <x:v>VDEP-EJ06</x:v>
      </x:c>
      <x:c r="C23" s="504" t="n">
        <x:v>2</x:v>
      </x:c>
      <x:c r="D23" s="450" t="str">
        <x:v>C</x:v>
      </x:c>
      <x:c r="E23" s="450" t="str">
        <x:v>Respuesta pública</x:v>
      </x:c>
      <x:c r="F23" s="450" t="str">
        <x:v>Respuesta pública</x:v>
      </x:c>
      <x:c r="G23" s="450" t="str">
        <x:v>Control, identificación y peritaje</x:v>
      </x:c>
      <x:c r="H23" s="450" t="str">
        <x:v>caso</x:v>
      </x:c>
      <x:c r="I23" s="450" t="n">
        <x:v>0</x:v>
      </x:c>
      <x:c r="J23" s="450" t="n">
        <x:v>1</x:v>
      </x:c>
      <x:c r="K23" s="450" t="n">
        <x:v>1</x:v>
      </x:c>
      <x:c r="L23" s="450" t="n">
        <x:v>1</x:v>
      </x:c>
      <x:c r="M23" s="451" t="n">
        <x:v>300000</x:v>
      </x:c>
      <x:c r="N23" s="451" t="n">
        <x:v>300000</x:v>
      </x:c>
      <x:c r="O23" s="451" t="n">
        <x:v>300000</x:v>
      </x:c>
      <x:c r="P23" s="450" t="str">
        <x:v>Dato observado</x:v>
      </x:c>
      <x:c r="Q23" s="450" t="str">
        <x:v>A</x:v>
      </x:c>
      <x:c r="R23" s="450" t="str">
        <x:v>Sí</x:v>
      </x:c>
      <x:c r="S23" s="450" t="str">
        <x:v>Observado</x:v>
      </x:c>
      <x:c r="T23" s="450" t="str">
        <x:v>Dato del expediente</x:v>
      </x:c>
      <x:c r="U23" s="450"/>
      <x:c r="V23" s="450" t="str">
        <x:v>Monto observado</x:v>
      </x:c>
      <x:c r="W23" s="450" t="str">
        <x:v>septiembre de 2026</x:v>
      </x:c>
      <x:c r="X23" s="450" t="str">
        <x:v>Producto 2.1.2, Anexo técnico de ejemplos aplicados VDEP, Ejemplo 6, pp. 16 (septiembre de 2026)</x:v>
      </x:c>
      <x:c r="Y23" s="450" t="str"/>
      <x:c r="Z23" s="450" t="str"/>
    </x:row>
    <x:row r="24">
      <x:c r="A24" s="504" t="str">
        <x:v>VDEP-EJ06-D01</x:v>
      </x:c>
      <x:c r="B24" s="504" t="str">
        <x:v>VDEP-EJ06</x:v>
      </x:c>
      <x:c r="C24" s="504" t="n">
        <x:v>3</x:v>
      </x:c>
      <x:c r="D24" s="450" t="str">
        <x:v>D</x:v>
      </x:c>
      <x:c r="E24" s="450" t="str">
        <x:v>Custodia viva</x:v>
      </x:c>
      <x:c r="F24" s="450" t="str">
        <x:v>Custodia viva</x:v>
      </x:c>
      <x:c r="G24" s="450" t="str">
        <x:v>Vivero y manejo inicial</x:v>
      </x:c>
      <x:c r="H24" s="450" t="str">
        <x:v>caso</x:v>
      </x:c>
      <x:c r="I24" s="450" t="n">
        <x:v>0</x:v>
      </x:c>
      <x:c r="J24" s="450" t="n">
        <x:v>1</x:v>
      </x:c>
      <x:c r="K24" s="450" t="n">
        <x:v>1</x:v>
      </x:c>
      <x:c r="L24" s="450" t="n">
        <x:v>1</x:v>
      </x:c>
      <x:c r="M24" s="451" t="n">
        <x:v>150000</x:v>
      </x:c>
      <x:c r="N24" s="451" t="n">
        <x:v>200000</x:v>
      </x:c>
      <x:c r="O24" s="451" t="n">
        <x:v>250000</x:v>
      </x:c>
      <x:c r="P24" s="450" t="str">
        <x:v>Base histórica</x:v>
      </x:c>
      <x:c r="Q24" s="450" t="str">
        <x:v>B</x:v>
      </x:c>
      <x:c r="R24" s="450" t="str">
        <x:v>Sí</x:v>
      </x:c>
      <x:c r="S24" s="450" t="str">
        <x:v>Estimado</x:v>
      </x:c>
      <x:c r="T24" s="450" t="str">
        <x:v>Base histórica comparable</x:v>
      </x:c>
      <x:c r="U24" s="450"/>
      <x:c r="V24" s="450" t="str">
        <x:v>Rango histórico didáctico</x:v>
      </x:c>
      <x:c r="W24" s="450" t="str">
        <x:v>septiembre de 2026</x:v>
      </x:c>
      <x:c r="X24" s="450" t="str">
        <x:v>Producto 2.1.2, Anexo técnico de ejemplos aplicados VDEP, Ejemplo 6, pp. 16 (septiembre de 2026)</x:v>
      </x:c>
      <x:c r="Y24" s="450" t="str"/>
      <x:c r="Z24" s="450" t="str"/>
    </x:row>
    <x:row r="25">
      <x:c r="A25" s="504" t="str">
        <x:v>VDEP-EJ07-R01</x:v>
      </x:c>
      <x:c r="B25" s="504" t="str">
        <x:v>VDEP-EJ07</x:v>
      </x:c>
      <x:c r="C25" s="504" t="n">
        <x:v>1</x:v>
      </x:c>
      <x:c r="D25" s="450" t="str">
        <x:v>R</x:v>
      </x:c>
      <x:c r="E25" s="450" t="str">
        <x:v>Polluelos</x:v>
      </x:c>
      <x:c r="F25" s="450" t="str">
        <x:v>Polluelos</x:v>
      </x:c>
      <x:c r="G25" s="450" t="str">
        <x:v>Adultos-equivalentes × precio sombra por adulto</x:v>
      </x:c>
      <x:c r="H25" s="450" t="str">
        <x:v>caso</x:v>
      </x:c>
      <x:c r="I25" s="450" t="n">
        <x:v>0</x:v>
      </x:c>
      <x:c r="J25" s="450" t="n">
        <x:v>1</x:v>
      </x:c>
      <x:c r="K25" s="450" t="n">
        <x:v>1</x:v>
      </x:c>
      <x:c r="L25" s="450" t="n">
        <x:v>1</x:v>
      </x:c>
      <x:c r="M25" s="451" t="n">
        <x:v>2275000</x:v>
      </x:c>
      <x:c r="N25" s="451" t="n">
        <x:v>3500000</x:v>
      </x:c>
      <x:c r="O25" s="451" t="n">
        <x:v>4875000</x:v>
      </x:c>
      <x:c r="P25" s="450" t="str">
        <x:v>Parámetros biológicos</x:v>
      </x:c>
      <x:c r="Q25" s="450" t="str">
        <x:v>B</x:v>
      </x:c>
      <x:c r="R25" s="450" t="str">
        <x:v>Sí</x:v>
      </x:c>
      <x:c r="S25" s="450" t="str">
        <x:v>Estimado</x:v>
      </x:c>
      <x:c r="T25" s="450" t="str">
        <x:v>Estudio comparable</x:v>
      </x:c>
      <x:c r="U25" s="450"/>
      <x:c r="V25" s="450" t="str">
        <x:v>0,35/0,50/0,65 × CRC 6,5/7/7,5 millones</x:v>
      </x:c>
      <x:c r="W25" s="450" t="str">
        <x:v>septiembre de 2026</x:v>
      </x:c>
      <x:c r="X25" s="450" t="str">
        <x:v>Producto 2.1.2, Anexo técnico de ejemplos aplicados VDEP, Ejemplo 7, pp. 17–18 (septiembre de 2026)</x:v>
      </x:c>
      <x:c r="Y25" s="450" t="str"/>
      <x:c r="Z25" s="450" t="str"/>
    </x:row>
    <x:row r="26">
      <x:c r="A26" s="504" t="str">
        <x:v>VDEP-EJ07-R02</x:v>
      </x:c>
      <x:c r="B26" s="504" t="str">
        <x:v>VDEP-EJ07</x:v>
      </x:c>
      <x:c r="C26" s="504" t="n">
        <x:v>2</x:v>
      </x:c>
      <x:c r="D26" s="450" t="str">
        <x:v>R</x:v>
      </x:c>
      <x:c r="E26" s="450" t="str">
        <x:v>Árbol/hábitat</x:v>
      </x:c>
      <x:c r="F26" s="450" t="str">
        <x:v>Árbol/hábitat</x:v>
      </x:c>
      <x:c r="G26" s="450" t="str">
        <x:v>Restauración y protección de estructura de anidación</x:v>
      </x:c>
      <x:c r="H26" s="450" t="str">
        <x:v>caso</x:v>
      </x:c>
      <x:c r="I26" s="450" t="n">
        <x:v>0</x:v>
      </x:c>
      <x:c r="J26" s="450" t="n">
        <x:v>1</x:v>
      </x:c>
      <x:c r="K26" s="450" t="n">
        <x:v>1</x:v>
      </x:c>
      <x:c r="L26" s="450" t="n">
        <x:v>1</x:v>
      </x:c>
      <x:c r="M26" s="451" t="n">
        <x:v>1300000</x:v>
      </x:c>
      <x:c r="N26" s="451" t="n">
        <x:v>1600000</x:v>
      </x:c>
      <x:c r="O26" s="451" t="n">
        <x:v>1900000</x:v>
      </x:c>
      <x:c r="P26" s="450" t="str">
        <x:v>Proyecto comparable</x:v>
      </x:c>
      <x:c r="Q26" s="450" t="str">
        <x:v>B</x:v>
      </x:c>
      <x:c r="R26" s="450" t="str">
        <x:v>Sí</x:v>
      </x:c>
      <x:c r="S26" s="450" t="str">
        <x:v>Estimado</x:v>
      </x:c>
      <x:c r="T26" s="450" t="str">
        <x:v>Estudio comparable</x:v>
      </x:c>
      <x:c r="U26" s="450"/>
      <x:c r="V26" s="450" t="str">
        <x:v>Rango del proyecto</x:v>
      </x:c>
      <x:c r="W26" s="450" t="str">
        <x:v>septiembre de 2026</x:v>
      </x:c>
      <x:c r="X26" s="450" t="str">
        <x:v>Producto 2.1.2, Anexo técnico de ejemplos aplicados VDEP, Ejemplo 7, pp. 18 (septiembre de 2026)</x:v>
      </x:c>
      <x:c r="Y26" s="450" t="str"/>
      <x:c r="Z26" s="450" t="str">
        <x:v>No usar para volver a inflar el valor de los polluelos.</x:v>
      </x:c>
    </x:row>
    <x:row r="27">
      <x:c r="A27" s="504" t="str">
        <x:v>VDEP-EJ07-B01</x:v>
      </x:c>
      <x:c r="B27" s="504" t="str">
        <x:v>VDEP-EJ07</x:v>
      </x:c>
      <x:c r="C27" s="504" t="n">
        <x:v>3</x:v>
      </x:c>
      <x:c r="D27" s="450" t="str">
        <x:v>B</x:v>
      </x:c>
      <x:c r="E27" s="450" t="str">
        <x:v>Pérdidas interinas</x:v>
      </x:c>
      <x:c r="F27" s="450" t="str">
        <x:v>Pérdidas interinas</x:v>
      </x:c>
      <x:c r="G27" s="450" t="str">
        <x:v>Funciones no restituidas inmediatamente</x:v>
      </x:c>
      <x:c r="H27" s="450" t="str">
        <x:v>caso</x:v>
      </x:c>
      <x:c r="I27" s="450" t="n">
        <x:v>0</x:v>
      </x:c>
      <x:c r="J27" s="450" t="n">
        <x:v>1</x:v>
      </x:c>
      <x:c r="K27" s="450" t="n">
        <x:v>1</x:v>
      </x:c>
      <x:c r="L27" s="450" t="n">
        <x:v>1</x:v>
      </x:c>
      <x:c r="M27" s="451" t="n">
        <x:v>1600000</x:v>
      </x:c>
      <x:c r="N27" s="451" t="n">
        <x:v>2400000</x:v>
      </x:c>
      <x:c r="O27" s="451" t="n">
        <x:v>3200000</x:v>
      </x:c>
      <x:c r="P27" s="450" t="str">
        <x:v>Transferencia ajustada</x:v>
      </x:c>
      <x:c r="Q27" s="450" t="str">
        <x:v>B</x:v>
      </x:c>
      <x:c r="R27" s="450" t="str">
        <x:v>Sí</x:v>
      </x:c>
      <x:c r="S27" s="450" t="str">
        <x:v>Estimado</x:v>
      </x:c>
      <x:c r="T27" s="450" t="str">
        <x:v>Transferencia de valor unitario</x:v>
      </x:c>
      <x:c r="U27" s="450"/>
      <x:c r="V27" s="450" t="str">
        <x:v>Pérdida interina o residual</x:v>
      </x:c>
      <x:c r="W27" s="450" t="str">
        <x:v>septiembre de 2026</x:v>
      </x:c>
      <x:c r="X27" s="450" t="str">
        <x:v>Producto 2.1.2, Anexo técnico de ejemplos aplicados VDEP, Ejemplo 7, pp. 18 (septiembre de 2026)</x:v>
      </x:c>
      <x:c r="Y27" s="450" t="str"/>
      <x:c r="Z27" s="450" t="str">
        <x:v>Descontar funciones restituidas por R.</x:v>
      </x:c>
    </x:row>
    <x:row r="28">
      <x:c r="A28" s="504" t="str">
        <x:v>VDEP-EJ07-C01</x:v>
      </x:c>
      <x:c r="B28" s="504" t="str">
        <x:v>VDEP-EJ07</x:v>
      </x:c>
      <x:c r="C28" s="504" t="n">
        <x:v>4</x:v>
      </x:c>
      <x:c r="D28" s="450" t="str">
        <x:v>C</x:v>
      </x:c>
      <x:c r="E28" s="450" t="str">
        <x:v>Respuesta pública</x:v>
      </x:c>
      <x:c r="F28" s="450" t="str">
        <x:v>Respuesta pública</x:v>
      </x:c>
      <x:c r="G28" s="450" t="str">
        <x:v>Investigación y peritaje</x:v>
      </x:c>
      <x:c r="H28" s="450" t="str">
        <x:v>caso</x:v>
      </x:c>
      <x:c r="I28" s="450" t="n">
        <x:v>0</x:v>
      </x:c>
      <x:c r="J28" s="450" t="n">
        <x:v>1</x:v>
      </x:c>
      <x:c r="K28" s="450" t="n">
        <x:v>1</x:v>
      </x:c>
      <x:c r="L28" s="450" t="n">
        <x:v>1</x:v>
      </x:c>
      <x:c r="M28" s="451" t="n">
        <x:v>550000</x:v>
      </x:c>
      <x:c r="N28" s="451" t="n">
        <x:v>550000</x:v>
      </x:c>
      <x:c r="O28" s="451" t="n">
        <x:v>550000</x:v>
      </x:c>
      <x:c r="P28" s="450" t="str">
        <x:v>Dato observado</x:v>
      </x:c>
      <x:c r="Q28" s="450" t="str">
        <x:v>A</x:v>
      </x:c>
      <x:c r="R28" s="450" t="str">
        <x:v>Sí</x:v>
      </x:c>
      <x:c r="S28" s="450" t="str">
        <x:v>Observado</x:v>
      </x:c>
      <x:c r="T28" s="450" t="str">
        <x:v>Dato del expediente</x:v>
      </x:c>
      <x:c r="U28" s="450"/>
      <x:c r="V28" s="450" t="str">
        <x:v>Monto observado</x:v>
      </x:c>
      <x:c r="W28" s="450" t="str">
        <x:v>septiembre de 2026</x:v>
      </x:c>
      <x:c r="X28" s="450" t="str">
        <x:v>Producto 2.1.2, Anexo técnico de ejemplos aplicados VDEP, Ejemplo 7, pp. 18 (septiembre de 2026)</x:v>
      </x:c>
      <x:c r="Y28" s="450" t="str"/>
      <x:c r="Z28" s="450" t="str"/>
    </x:row>
    <x:row r="29">
      <x:c r="A29" s="504" t="str">
        <x:v>VDEP-EJ07-D01</x:v>
      </x:c>
      <x:c r="B29" s="504" t="str">
        <x:v>VDEP-EJ07</x:v>
      </x:c>
      <x:c r="C29" s="504" t="n">
        <x:v>5</x:v>
      </x:c>
      <x:c r="D29" s="450" t="str">
        <x:v>D</x:v>
      </x:c>
      <x:c r="E29" s="450" t="str">
        <x:v>Rescate</x:v>
      </x:c>
      <x:c r="F29" s="450" t="str">
        <x:v>Rescate</x:v>
      </x:c>
      <x:c r="G29" s="450" t="str">
        <x:v>Atención del polluelo sobreviviente</x:v>
      </x:c>
      <x:c r="H29" s="450" t="str">
        <x:v>caso</x:v>
      </x:c>
      <x:c r="I29" s="450" t="n">
        <x:v>0</x:v>
      </x:c>
      <x:c r="J29" s="450" t="n">
        <x:v>1</x:v>
      </x:c>
      <x:c r="K29" s="450" t="n">
        <x:v>1</x:v>
      </x:c>
      <x:c r="L29" s="450" t="n">
        <x:v>1</x:v>
      </x:c>
      <x:c r="M29" s="451" t="n">
        <x:v>350000</x:v>
      </x:c>
      <x:c r="N29" s="451" t="n">
        <x:v>400000</x:v>
      </x:c>
      <x:c r="O29" s="451" t="n">
        <x:v>500000</x:v>
      </x:c>
      <x:c r="P29" s="450" t="str">
        <x:v>Base histórica</x:v>
      </x:c>
      <x:c r="Q29" s="450" t="str">
        <x:v>B</x:v>
      </x:c>
      <x:c r="R29" s="450" t="str">
        <x:v>Sí</x:v>
      </x:c>
      <x:c r="S29" s="450" t="str">
        <x:v>Estimado</x:v>
      </x:c>
      <x:c r="T29" s="450" t="str">
        <x:v>Base histórica comparable</x:v>
      </x:c>
      <x:c r="U29" s="450"/>
      <x:c r="V29" s="450" t="str">
        <x:v>Rango histórico didáctico</x:v>
      </x:c>
      <x:c r="W29" s="450" t="str">
        <x:v>septiembre de 2026</x:v>
      </x:c>
      <x:c r="X29" s="450" t="str">
        <x:v>Producto 2.1.2, Anexo técnico de ejemplos aplicados VDEP, Ejemplo 7, pp. 18 (septiembre de 2026)</x:v>
      </x:c>
      <x:c r="Y29" s="450" t="str"/>
      <x:c r="Z29" s="450" t="str"/>
    </x:row>
    <x:row r="30">
      <x:c r="A30" s="504" t="str">
        <x:v>VDEP-EJ08-R01</x:v>
      </x:c>
      <x:c r="B30" s="504" t="str">
        <x:v>VDEP-EJ08</x:v>
      </x:c>
      <x:c r="C30" s="504" t="n">
        <x:v>1</x:v>
      </x:c>
      <x:c r="D30" s="450" t="str">
        <x:v>R</x:v>
      </x:c>
      <x:c r="E30" s="450" t="str">
        <x:v>Individuos estimados</x:v>
      </x:c>
      <x:c r="F30" s="450" t="str">
        <x:v>Individuos estimados</x:v>
      </x:c>
      <x:c r="G30" s="450" t="str">
        <x:v>Número inferido × CRC 25.000</x:v>
      </x:c>
      <x:c r="H30" s="450" t="str">
        <x:v>caso</x:v>
      </x:c>
      <x:c r="I30" s="450" t="n">
        <x:v>0</x:v>
      </x:c>
      <x:c r="J30" s="450" t="n">
        <x:v>1</x:v>
      </x:c>
      <x:c r="K30" s="450" t="n">
        <x:v>1</x:v>
      </x:c>
      <x:c r="L30" s="450" t="n">
        <x:v>1</x:v>
      </x:c>
      <x:c r="M30" s="451" t="n">
        <x:v>3000000</x:v>
      </x:c>
      <x:c r="N30" s="451" t="n">
        <x:v>3750000</x:v>
      </x:c>
      <x:c r="O30" s="451" t="n">
        <x:v>4500000</x:v>
      </x:c>
      <x:c r="P30" s="450" t="str">
        <x:v>Rango forense</x:v>
      </x:c>
      <x:c r="Q30" s="450" t="str">
        <x:v>B</x:v>
      </x:c>
      <x:c r="R30" s="450" t="str">
        <x:v>Sí</x:v>
      </x:c>
      <x:c r="S30" s="450" t="str">
        <x:v>Estimado</x:v>
      </x:c>
      <x:c r="T30" s="450" t="str">
        <x:v>Estudio comparable</x:v>
      </x:c>
      <x:c r="U30" s="450"/>
      <x:c r="V30" s="450" t="str">
        <x:v>120/150/180 individuos × CRC 25.000</x:v>
      </x:c>
      <x:c r="W30" s="450" t="str">
        <x:v>septiembre de 2026</x:v>
      </x:c>
      <x:c r="X30" s="450" t="str">
        <x:v>Producto 2.1.2, Anexo técnico de ejemplos aplicados VDEP, Ejemplo 8, pp. 19–20 (septiembre de 2026)</x:v>
      </x:c>
      <x:c r="Y30" s="450" t="str"/>
      <x:c r="Z30" s="450" t="str">
        <x:v>El rango reemplaza un multiplicador arbitrario de subdetección.</x:v>
      </x:c>
    </x:row>
    <x:row r="31">
      <x:c r="A31" s="504" t="str">
        <x:v>VDEP-EJ08-C01</x:v>
      </x:c>
      <x:c r="B31" s="504" t="str">
        <x:v>VDEP-EJ08</x:v>
      </x:c>
      <x:c r="C31" s="504" t="n">
        <x:v>2</x:v>
      </x:c>
      <x:c r="D31" s="450" t="str">
        <x:v>C</x:v>
      </x:c>
      <x:c r="E31" s="450" t="str">
        <x:v>Respuesta pública</x:v>
      </x:c>
      <x:c r="F31" s="450" t="str">
        <x:v>Respuesta pública</x:v>
      </x:c>
      <x:c r="G31" s="450" t="str">
        <x:v>Aduanas, identificación y peritaje</x:v>
      </x:c>
      <x:c r="H31" s="450" t="str">
        <x:v>caso</x:v>
      </x:c>
      <x:c r="I31" s="450" t="n">
        <x:v>0</x:v>
      </x:c>
      <x:c r="J31" s="450" t="n">
        <x:v>1</x:v>
      </x:c>
      <x:c r="K31" s="450" t="n">
        <x:v>1</x:v>
      </x:c>
      <x:c r="L31" s="450" t="n">
        <x:v>1</x:v>
      </x:c>
      <x:c r="M31" s="451" t="n">
        <x:v>650000</x:v>
      </x:c>
      <x:c r="N31" s="451" t="n">
        <x:v>650000</x:v>
      </x:c>
      <x:c r="O31" s="451" t="n">
        <x:v>650000</x:v>
      </x:c>
      <x:c r="P31" s="450" t="str">
        <x:v>Dato observado</x:v>
      </x:c>
      <x:c r="Q31" s="450" t="str">
        <x:v>A</x:v>
      </x:c>
      <x:c r="R31" s="450" t="str">
        <x:v>Sí</x:v>
      </x:c>
      <x:c r="S31" s="450" t="str">
        <x:v>Observado</x:v>
      </x:c>
      <x:c r="T31" s="450" t="str">
        <x:v>Dato del expediente</x:v>
      </x:c>
      <x:c r="U31" s="450"/>
      <x:c r="V31" s="450" t="str">
        <x:v>Monto observado</x:v>
      </x:c>
      <x:c r="W31" s="450" t="str">
        <x:v>septiembre de 2026</x:v>
      </x:c>
      <x:c r="X31" s="450" t="str">
        <x:v>Producto 2.1.2, Anexo técnico de ejemplos aplicados VDEP, Ejemplo 8, pp. 20 (septiembre de 2026)</x:v>
      </x:c>
      <x:c r="Y31" s="450" t="str"/>
      <x:c r="Z31" s="450" t="str"/>
    </x:row>
    <x:row r="32">
      <x:c r="A32" s="504" t="str">
        <x:v>VDEP-EJ08-D01</x:v>
      </x:c>
      <x:c r="B32" s="504" t="str">
        <x:v>VDEP-EJ08</x:v>
      </x:c>
      <x:c r="C32" s="504" t="n">
        <x:v>3</x:v>
      </x:c>
      <x:c r="D32" s="450" t="str">
        <x:v>D</x:v>
      </x:c>
      <x:c r="E32" s="450" t="str">
        <x:v>Atención</x:v>
      </x:c>
      <x:c r="F32" s="450" t="str">
        <x:v>Atención</x:v>
      </x:c>
      <x:c r="G32" s="450" t="str">
        <x:v>Manejo inicial de sobrevivientes</x:v>
      </x:c>
      <x:c r="H32" s="450" t="str">
        <x:v>caso</x:v>
      </x:c>
      <x:c r="I32" s="450" t="n">
        <x:v>0</x:v>
      </x:c>
      <x:c r="J32" s="450" t="n">
        <x:v>1</x:v>
      </x:c>
      <x:c r="K32" s="450" t="n">
        <x:v>1</x:v>
      </x:c>
      <x:c r="L32" s="450" t="n">
        <x:v>1</x:v>
      </x:c>
      <x:c r="M32" s="451" t="n">
        <x:v>100000</x:v>
      </x:c>
      <x:c r="N32" s="451" t="n">
        <x:v>150000</x:v>
      </x:c>
      <x:c r="O32" s="451" t="n">
        <x:v>200000</x:v>
      </x:c>
      <x:c r="P32" s="450" t="str">
        <x:v>Escenario histórico</x:v>
      </x:c>
      <x:c r="Q32" s="450" t="str">
        <x:v>B</x:v>
      </x:c>
      <x:c r="R32" s="450" t="str">
        <x:v>Sí</x:v>
      </x:c>
      <x:c r="S32" s="450" t="str">
        <x:v>Estimado</x:v>
      </x:c>
      <x:c r="T32" s="450" t="str">
        <x:v>Base histórica comparable</x:v>
      </x:c>
      <x:c r="U32" s="450"/>
      <x:c r="V32" s="450" t="str">
        <x:v>Rango histórico didáctico</x:v>
      </x:c>
      <x:c r="W32" s="450" t="str">
        <x:v>septiembre de 2026</x:v>
      </x:c>
      <x:c r="X32" s="450" t="str">
        <x:v>Producto 2.1.2, Anexo técnico de ejemplos aplicados VDEP, Ejemplo 8, pp. 20 (septiembre de 2026)</x:v>
      </x:c>
      <x:c r="Y32" s="450" t="str"/>
      <x:c r="Z32" s="450" t="str"/>
    </x:row>
    <x:row r="33">
      <x:c r="A33" s="504" t="str">
        <x:v>VDEP-EJ09-R01</x:v>
      </x:c>
      <x:c r="B33" s="504" t="str">
        <x:v>VDEP-EJ09</x:v>
      </x:c>
      <x:c r="C33" s="504" t="n">
        <x:v>1</x:v>
      </x:c>
      <x:c r="D33" s="450" t="str">
        <x:v>R</x:v>
      </x:c>
      <x:c r="E33" s="450" t="str">
        <x:v>Ocho aves</x:v>
      </x:c>
      <x:c r="F33" s="450" t="str">
        <x:v>Ocho aves</x:v>
      </x:c>
      <x:c r="G33" s="450" t="str">
        <x:v>8 × equivalencia unitaria</x:v>
      </x:c>
      <x:c r="H33" s="450" t="str">
        <x:v>caso</x:v>
      </x:c>
      <x:c r="I33" s="450" t="n">
        <x:v>0</x:v>
      </x:c>
      <x:c r="J33" s="450" t="n">
        <x:v>1</x:v>
      </x:c>
      <x:c r="K33" s="450" t="n">
        <x:v>1</x:v>
      </x:c>
      <x:c r="L33" s="450" t="n">
        <x:v>1</x:v>
      </x:c>
      <x:c r="M33" s="451" t="n">
        <x:v>1280000</x:v>
      </x:c>
      <x:c r="N33" s="451" t="n">
        <x:v>1600000</x:v>
      </x:c>
      <x:c r="O33" s="451" t="n">
        <x:v>1920000</x:v>
      </x:c>
      <x:c r="P33" s="450" t="str">
        <x:v>Programa comparable</x:v>
      </x:c>
      <x:c r="Q33" s="450" t="str">
        <x:v>B</x:v>
      </x:c>
      <x:c r="R33" s="450" t="str">
        <x:v>Sí</x:v>
      </x:c>
      <x:c r="S33" s="450" t="str">
        <x:v>Estimado</x:v>
      </x:c>
      <x:c r="T33" s="450" t="str">
        <x:v>Estudio comparable</x:v>
      </x:c>
      <x:c r="U33" s="450"/>
      <x:c r="V33" s="450" t="str">
        <x:v>CRC 160.000/200.000/240.000 por ave</x:v>
      </x:c>
      <x:c r="W33" s="450" t="str">
        <x:v>septiembre de 2026</x:v>
      </x:c>
      <x:c r="X33" s="450" t="str">
        <x:v>Producto 2.1.2, Anexo técnico de ejemplos aplicados VDEP, Ejemplo 9, pp. 21–22 (septiembre de 2026)</x:v>
      </x:c>
      <x:c r="Y33" s="450" t="str"/>
      <x:c r="Z33" s="450" t="str"/>
    </x:row>
    <x:row r="34">
      <x:c r="A34" s="504" t="str">
        <x:v>VDEP-EJ09-R02</x:v>
      </x:c>
      <x:c r="B34" s="504" t="str">
        <x:v>VDEP-EJ09</x:v>
      </x:c>
      <x:c r="C34" s="504" t="n">
        <x:v>2</x:v>
      </x:c>
      <x:c r="D34" s="450" t="str">
        <x:v>R</x:v>
      </x:c>
      <x:c r="E34" s="450" t="str">
        <x:v>Manglar</x:v>
      </x:c>
      <x:c r="F34" s="450" t="str">
        <x:v>Manglar</x:v>
      </x:c>
      <x:c r="G34" s="450" t="str">
        <x:v>Restauración de 0,6 ha</x:v>
      </x:c>
      <x:c r="H34" s="450" t="str">
        <x:v>caso</x:v>
      </x:c>
      <x:c r="I34" s="450" t="n">
        <x:v>0</x:v>
      </x:c>
      <x:c r="J34" s="450" t="n">
        <x:v>1</x:v>
      </x:c>
      <x:c r="K34" s="450" t="n">
        <x:v>1</x:v>
      </x:c>
      <x:c r="L34" s="450" t="n">
        <x:v>1</x:v>
      </x:c>
      <x:c r="M34" s="451" t="n">
        <x:v>7000000</x:v>
      </x:c>
      <x:c r="N34" s="451" t="n">
        <x:v>8000000</x:v>
      </x:c>
      <x:c r="O34" s="451" t="n">
        <x:v>9500000</x:v>
      </x:c>
      <x:c r="P34" s="450" t="str">
        <x:v>Proyecto comparable</x:v>
      </x:c>
      <x:c r="Q34" s="450" t="str">
        <x:v>B</x:v>
      </x:c>
      <x:c r="R34" s="450" t="str">
        <x:v>Sí</x:v>
      </x:c>
      <x:c r="S34" s="450" t="str">
        <x:v>Estimado</x:v>
      </x:c>
      <x:c r="T34" s="450" t="str">
        <x:v>Estudio comparable</x:v>
      </x:c>
      <x:c r="U34" s="450"/>
      <x:c r="V34" s="450" t="str">
        <x:v>Rango del proyecto</x:v>
      </x:c>
      <x:c r="W34" s="450" t="str">
        <x:v>septiembre de 2026</x:v>
      </x:c>
      <x:c r="X34" s="450" t="str">
        <x:v>Producto 2.1.2, Anexo técnico de ejemplos aplicados VDEP, Ejemplo 9, pp. 22 (septiembre de 2026)</x:v>
      </x:c>
      <x:c r="Y34" s="450" t="str"/>
      <x:c r="Z34" s="450" t="str">
        <x:v>Excluir si no se acredita causalidad territorial.</x:v>
      </x:c>
    </x:row>
    <x:row r="35">
      <x:c r="A35" s="504" t="str">
        <x:v>VDEP-EJ09-B01</x:v>
      </x:c>
      <x:c r="B35" s="504" t="str">
        <x:v>VDEP-EJ09</x:v>
      </x:c>
      <x:c r="C35" s="504" t="n">
        <x:v>3</x:v>
      </x:c>
      <x:c r="D35" s="450" t="str">
        <x:v>B</x:v>
      </x:c>
      <x:c r="E35" s="450" t="str">
        <x:v>Pérdidas interinas</x:v>
      </x:c>
      <x:c r="F35" s="450" t="str">
        <x:v>Pérdidas interinas</x:v>
      </x:c>
      <x:c r="G35" s="450" t="str">
        <x:v>Servicios de manglar durante recuperación</x:v>
      </x:c>
      <x:c r="H35" s="450" t="str">
        <x:v>caso</x:v>
      </x:c>
      <x:c r="I35" s="450" t="n">
        <x:v>0</x:v>
      </x:c>
      <x:c r="J35" s="450" t="n">
        <x:v>1</x:v>
      </x:c>
      <x:c r="K35" s="450" t="n">
        <x:v>1</x:v>
      </x:c>
      <x:c r="L35" s="450" t="n">
        <x:v>1</x:v>
      </x:c>
      <x:c r="M35" s="451" t="n">
        <x:v>3000000</x:v>
      </x:c>
      <x:c r="N35" s="451" t="n">
        <x:v>4200000</x:v>
      </x:c>
      <x:c r="O35" s="451" t="n">
        <x:v>5500000</x:v>
      </x:c>
      <x:c r="P35" s="450" t="str">
        <x:v>Transferencia ajustada</x:v>
      </x:c>
      <x:c r="Q35" s="450" t="str">
        <x:v>B</x:v>
      </x:c>
      <x:c r="R35" s="450" t="str">
        <x:v>Sí</x:v>
      </x:c>
      <x:c r="S35" s="450" t="str">
        <x:v>Estimado</x:v>
      </x:c>
      <x:c r="T35" s="450" t="str">
        <x:v>Transferencia de valor unitario</x:v>
      </x:c>
      <x:c r="U35" s="450"/>
      <x:c r="V35" s="450" t="str">
        <x:v>Pérdida interina durante recuperación</x:v>
      </x:c>
      <x:c r="W35" s="450" t="str">
        <x:v>septiembre de 2026</x:v>
      </x:c>
      <x:c r="X35" s="450" t="str">
        <x:v>Producto 2.1.2, Anexo técnico de ejemplos aplicados VDEP, Ejemplo 9, pp. 22 (septiembre de 2026)</x:v>
      </x:c>
      <x:c r="Y35" s="450" t="str"/>
      <x:c r="Z35" s="450" t="str">
        <x:v>Compatible con R solo por ser pérdida interina.</x:v>
      </x:c>
    </x:row>
    <x:row r="36">
      <x:c r="A36" s="504" t="str">
        <x:v>VDEP-EJ09-C01</x:v>
      </x:c>
      <x:c r="B36" s="504" t="str">
        <x:v>VDEP-EJ09</x:v>
      </x:c>
      <x:c r="C36" s="504" t="n">
        <x:v>4</x:v>
      </x:c>
      <x:c r="D36" s="450" t="str">
        <x:v>C</x:v>
      </x:c>
      <x:c r="E36" s="450" t="str">
        <x:v>Respuesta pública</x:v>
      </x:c>
      <x:c r="F36" s="450" t="str">
        <x:v>Respuesta pública</x:v>
      </x:c>
      <x:c r="G36" s="450" t="str">
        <x:v>Operativo e investigación</x:v>
      </x:c>
      <x:c r="H36" s="450" t="str">
        <x:v>caso</x:v>
      </x:c>
      <x:c r="I36" s="450" t="n">
        <x:v>0</x:v>
      </x:c>
      <x:c r="J36" s="450" t="n">
        <x:v>1</x:v>
      </x:c>
      <x:c r="K36" s="450" t="n">
        <x:v>1</x:v>
      </x:c>
      <x:c r="L36" s="450" t="n">
        <x:v>1</x:v>
      </x:c>
      <x:c r="M36" s="451" t="n">
        <x:v>900000</x:v>
      </x:c>
      <x:c r="N36" s="451" t="n">
        <x:v>900000</x:v>
      </x:c>
      <x:c r="O36" s="451" t="n">
        <x:v>900000</x:v>
      </x:c>
      <x:c r="P36" s="450" t="str">
        <x:v>Dato observado</x:v>
      </x:c>
      <x:c r="Q36" s="450" t="str">
        <x:v>A</x:v>
      </x:c>
      <x:c r="R36" s="450" t="str">
        <x:v>Sí</x:v>
      </x:c>
      <x:c r="S36" s="450" t="str">
        <x:v>Observado</x:v>
      </x:c>
      <x:c r="T36" s="450" t="str">
        <x:v>Dato del expediente</x:v>
      </x:c>
      <x:c r="U36" s="450"/>
      <x:c r="V36" s="450" t="str">
        <x:v>Monto observado</x:v>
      </x:c>
      <x:c r="W36" s="450" t="str">
        <x:v>septiembre de 2026</x:v>
      </x:c>
      <x:c r="X36" s="450" t="str">
        <x:v>Producto 2.1.2, Anexo técnico de ejemplos aplicados VDEP, Ejemplo 9, pp. 22 (septiembre de 2026)</x:v>
      </x:c>
      <x:c r="Y36" s="450" t="str"/>
      <x:c r="Z36" s="450" t="str"/>
    </x:row>
    <x:row r="37">
      <x:c r="A37" s="504" t="str">
        <x:v>VDEP-EJ09-D01</x:v>
      </x:c>
      <x:c r="B37" s="504" t="str">
        <x:v>VDEP-EJ09</x:v>
      </x:c>
      <x:c r="C37" s="504" t="n">
        <x:v>5</x:v>
      </x:c>
      <x:c r="D37" s="450" t="str">
        <x:v>D</x:v>
      </x:c>
      <x:c r="E37" s="450" t="str">
        <x:v>Rescate</x:v>
      </x:c>
      <x:c r="F37" s="450" t="str">
        <x:v>Rescate</x:v>
      </x:c>
      <x:c r="G37" s="450" t="str">
        <x:v>Atención de cinco aves</x:v>
      </x:c>
      <x:c r="H37" s="450" t="str">
        <x:v>caso</x:v>
      </x:c>
      <x:c r="I37" s="450" t="n">
        <x:v>0</x:v>
      </x:c>
      <x:c r="J37" s="450" t="n">
        <x:v>1</x:v>
      </x:c>
      <x:c r="K37" s="450" t="n">
        <x:v>1</x:v>
      </x:c>
      <x:c r="L37" s="450" t="n">
        <x:v>1</x:v>
      </x:c>
      <x:c r="M37" s="451" t="n">
        <x:v>400000</x:v>
      </x:c>
      <x:c r="N37" s="451" t="n">
        <x:v>500000</x:v>
      </x:c>
      <x:c r="O37" s="451" t="n">
        <x:v>650000</x:v>
      </x:c>
      <x:c r="P37" s="450" t="str">
        <x:v>Base histórica</x:v>
      </x:c>
      <x:c r="Q37" s="450" t="str">
        <x:v>B</x:v>
      </x:c>
      <x:c r="R37" s="450" t="str">
        <x:v>Sí</x:v>
      </x:c>
      <x:c r="S37" s="450" t="str">
        <x:v>Estimado</x:v>
      </x:c>
      <x:c r="T37" s="450" t="str">
        <x:v>Base histórica comparable</x:v>
      </x:c>
      <x:c r="U37" s="450"/>
      <x:c r="V37" s="450" t="str">
        <x:v>Rango histórico didáctico</x:v>
      </x:c>
      <x:c r="W37" s="450" t="str">
        <x:v>septiembre de 2026</x:v>
      </x:c>
      <x:c r="X37" s="450" t="str">
        <x:v>Producto 2.1.2, Anexo técnico de ejemplos aplicados VDEP, Ejemplo 9, pp. 22 (septiembre de 2026)</x:v>
      </x:c>
      <x:c r="Y37" s="450" t="str"/>
      <x:c r="Z37" s="450" t="str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</x:row>
  </x:sheetData>
  <x:mergeCells>
    <x:mergeCell ref="A1:Z1"/>
    <x:mergeCell ref="A2:Z2"/>
    <x:mergeCell ref="A3:Z3"/>
  </x:mergeCells>
  <x:dataValidations count="4">
    <x:dataValidation type="list" sqref="B6:B100">
      <x:formula1>"A,C,D,E,R"</x:formula1>
    </x:dataValidation>
    <x:dataValidation type="list" sqref="M6:M100">
      <x:formula1>"A,B,C,D,X"</x:formula1>
    </x:dataValidation>
    <x:dataValidation type="list" sqref="N6:N100">
      <x:formula1>"Sí,No"</x:formula1>
    </x:dataValidation>
    <x:dataValidation type="list" sqref="B6:B18">
      <x:formula1>"A1,A2,C,D,E,R"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34" hidden="0" customWidth="1"/>
    <x:col min="4" max="4" width="34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03" t="str">
        <x:v>Nueve casos aplicados VDEP del Producto 2.1.2</x:v>
      </x:c>
      <x:c r="B1" s="503"/>
      <x:c r="C1" s="503"/>
      <x:c r="D1" s="503"/>
      <x:c r="E1" s="503"/>
      <x:c r="F1" s="503"/>
      <x:c r="G1" s="503"/>
      <x:c r="H1" s="503"/>
      <x:c r="I1" s="503"/>
      <x:c r="J1" s="503"/>
      <x:c r="K1" s="503"/>
      <x:c r="L1" s="503"/>
      <x:c r="M1" s="503"/>
      <x:c r="N1" s="503"/>
      <x:c r="O1" s="503"/>
      <x:c r="P1" s="503"/>
      <x:c r="Q1" s="503"/>
      <x:c r="R1" s="503"/>
      <x:c r="S1" s="503"/>
      <x:c r="T1" s="503"/>
      <x:c r="U1" s="503"/>
      <x:c r="V1" s="503"/>
      <x:c r="W1" s="503"/>
      <x:c r="X1" s="503"/>
      <x:c r="Y1" s="503"/>
      <x:c r="Z1" s="503"/>
    </x:row>
    <x:row r="2">
      <x:c r="A2" s="501" t="str">
        <x:v>La app carga estos casos desde el Excel. Todos los hechos y montos son ficticios según la advertencia didáctica del anexo.</x:v>
      </x:c>
      <x:c r="B2" s="501"/>
      <x:c r="C2" s="501"/>
      <x:c r="D2" s="501"/>
      <x:c r="E2" s="501"/>
      <x:c r="F2" s="501"/>
      <x:c r="G2" s="501"/>
      <x:c r="H2" s="501"/>
      <x:c r="I2" s="501"/>
      <x:c r="J2" s="501"/>
      <x:c r="K2" s="501"/>
      <x:c r="L2" s="501"/>
      <x:c r="M2" s="501"/>
      <x:c r="N2" s="501"/>
      <x:c r="O2" s="501"/>
      <x:c r="P2" s="501"/>
      <x:c r="Q2" s="501"/>
      <x:c r="R2" s="501"/>
      <x:c r="S2" s="501"/>
      <x:c r="T2" s="501"/>
      <x:c r="U2" s="501"/>
      <x:c r="V2" s="501"/>
      <x:c r="W2" s="501"/>
      <x:c r="X2" s="501"/>
      <x:c r="Y2" s="501"/>
      <x:c r="Z2" s="501"/>
    </x:row>
    <x:row r="3">
      <x:c r="A3" s="450"/>
      <x:c r="B3" s="450"/>
      <x:c r="C3" s="450"/>
      <x:c r="D3" s="450"/>
      <x:c r="E3" s="450"/>
      <x:c r="F3" s="450"/>
      <x:c r="G3" s="450"/>
      <x:c r="H3" s="450"/>
      <x:c r="I3" s="450"/>
      <x:c r="J3" s="450"/>
      <x:c r="K3" s="450"/>
      <x:c r="L3" s="450"/>
      <x:c r="M3" s="450"/>
      <x:c r="N3" s="450"/>
      <x:c r="O3" s="450"/>
      <x:c r="P3" s="450"/>
      <x:c r="Q3" s="450"/>
      <x:c r="R3" s="450"/>
      <x:c r="S3" s="450"/>
      <x:c r="T3" s="450"/>
      <x:c r="U3" s="450"/>
      <x:c r="V3" s="450"/>
      <x:c r="W3" s="450"/>
      <x:c r="X3" s="450"/>
      <x:c r="Y3" s="450"/>
      <x:c r="Z3" s="450"/>
    </x:row>
    <x:row r="4">
      <x:c r="A4" s="450"/>
      <x:c r="B4" s="450"/>
      <x:c r="C4" s="450"/>
      <x:c r="D4" s="450"/>
      <x:c r="E4" s="450"/>
      <x:c r="F4" s="450"/>
      <x:c r="G4" s="450"/>
      <x:c r="H4" s="450"/>
      <x:c r="I4" s="450"/>
      <x:c r="J4" s="450"/>
      <x:c r="K4" s="450"/>
      <x:c r="L4" s="450"/>
      <x:c r="M4" s="450"/>
      <x:c r="N4" s="450"/>
      <x:c r="O4" s="450"/>
      <x:c r="P4" s="450"/>
      <x:c r="Q4" s="450"/>
      <x:c r="R4" s="450"/>
      <x:c r="S4" s="450"/>
      <x:c r="T4" s="450"/>
      <x:c r="U4" s="450"/>
      <x:c r="V4" s="450"/>
      <x:c r="W4" s="450"/>
      <x:c r="X4" s="450"/>
      <x:c r="Y4" s="450"/>
      <x:c r="Z4" s="450"/>
    </x:row>
    <x:row r="5">
      <x:c r="A5" s="502" t="str">
        <x:v>ID_CASO</x:v>
      </x:c>
      <x:c r="B5" s="502" t="str">
        <x:v>NUMERO_EJEMPLO</x:v>
      </x:c>
      <x:c r="C5" s="502" t="str">
        <x:v>NOMBRE_CASO</x:v>
      </x:c>
      <x:c r="D5" s="502" t="str">
        <x:v>DESCRIPCION_BREVE</x:v>
      </x:c>
      <x:c r="E5" s="502" t="str">
        <x:v>AUTORIDAD</x:v>
      </x:c>
      <x:c r="F5" s="502" t="str">
        <x:v>UBICACION</x:v>
      </x:c>
      <x:c r="G5" s="502" t="str">
        <x:v>CONDUCTA_EVENTO</x:v>
      </x:c>
      <x:c r="H5" s="502" t="str">
        <x:v>HECHO_PROBADO</x:v>
      </x:c>
      <x:c r="I5" s="502" t="str">
        <x:v>RECEPTOR_PRINCIPAL</x:v>
      </x:c>
      <x:c r="J5" s="502" t="str">
        <x:v>LINEA_BASE</x:v>
      </x:c>
      <x:c r="K5" s="502" t="str">
        <x:v>CAMBIO_BIOFISICO</x:v>
      </x:c>
      <x:c r="L5" s="502" t="str">
        <x:v>CONSECUENCIA</x:v>
      </x:c>
      <x:c r="M5" s="502" t="str">
        <x:v>CUENTAS_ACTIVADAS</x:v>
      </x:c>
      <x:c r="N5" s="502" t="str">
        <x:v>CONTROL_DOBLE_CONTEO</x:v>
      </x:c>
      <x:c r="O5" s="502" t="str">
        <x:v>QUE_CAMBIA_VDTC</x:v>
      </x:c>
      <x:c r="P5" s="502" t="str">
        <x:v>GRAVEDAD_FACTORES</x:v>
      </x:c>
      <x:c r="Q5" s="502" t="str">
        <x:v>GRAVEDAD_NOTAS</x:v>
      </x:c>
      <x:c r="R5" s="502" t="str">
        <x:v>MONEDA</x:v>
      </x:c>
      <x:c r="S5" s="502" t="str">
        <x:v>ANIO_BASE</x:v>
      </x:c>
      <x:c r="T5" s="502" t="str">
        <x:v>PERMITIR_AGREGACION</x:v>
      </x:c>
      <x:c r="U5" s="502" t="str">
        <x:v>FUENTE_CITA</x:v>
      </x:c>
      <x:c r="V5" s="502" t="str">
        <x:v>PAGINAS_PDF</x:v>
      </x:c>
      <x:c r="W5" s="502" t="str">
        <x:v>TOTAL_BAJO</x:v>
      </x:c>
      <x:c r="X5" s="502" t="str">
        <x:v>TOTAL_CENTRAL</x:v>
      </x:c>
      <x:c r="Y5" s="502" t="str">
        <x:v>TOTAL_ALTO</x:v>
      </x:c>
      <x:c r="Z5" s="502" t="str">
        <x:v>ADVERTENCIA_USO</x:v>
      </x:c>
    </x:row>
    <x:row r="6">
      <x:c r="A6" s="450" t="str">
        <x:v>VDEP-EJ01</x:v>
      </x:c>
      <x:c r="B6" s="450" t="n">
        <x:v>1</x:v>
      </x:c>
      <x:c r="C6" s="450" t="str">
        <x:v>Dos pericos vivos aún en rehabilitación</x:v>
      </x:c>
      <x:c r="D6" s="450" t="str">
        <x:v>Uso de una base histórica antes de conocer la duración final del tratamiento.</x:v>
      </x:c>
      <x:c r="E6" s="450" t="str">
        <x:v>No especificada en el ejemplo</x:v>
      </x:c>
      <x:c r="F6" s="450" t="str">
        <x:v>Centro de rescate no especificado</x:v>
      </x:c>
      <x:c r="G6" s="450" t="str">
        <x:v>Transporte ilegal y decomiso</x:v>
      </x:c>
      <x:c r="H6" s="450" t="str">
        <x:v>Dos ejemplares vivos decomisados; al día 4 se acumularon 8 días-animal y se realizaron 2 exámenes clínicos; la liberación aún no tiene fecha.</x:v>
      </x:c>
      <x:c r="I6" s="450" t="str">
        <x:v>Dos pericos vivos</x:v>
      </x:c>
      <x:c r="J6" s="450" t="str">
        <x:v>Sin el evento, los individuos habrían permanecido en el medio y no habrían requerido respuesta pública, rescate ni seguimiento. Inferencia operativa para el formulario.</x:v>
      </x:c>
      <x:c r="K6" s="450" t="str">
        <x:v>Lesión leve y separación temporal del medio.</x:v>
      </x:c>
      <x:c r="L6" s="450" t="str">
        <x:v>Atención, estancia y posible liberación con seguimiento.</x:v>
      </x:c>
      <x:c r="M6" s="450" t="str">
        <x:v>A+C+D+R</x:v>
      </x:c>
      <x:c r="N6" s="450" t="str">
        <x:v>No agregar un valor ecológico monetario por A mientras la lesión residual no esté demostrada.</x:v>
      </x:c>
      <x:c r="O6" s="450" t="str">
        <x:v>Reemplazar la estancia histórica por días-animal, medicamentos, personal, liberación y resultado biológico observados.</x:v>
      </x:c>
      <x:c r="P6" s="450" t="str"/>
      <x:c r="Q6" s="450" t="str">
        <x:v>El ejemplo no aplica multiplicador monetario de gravedad.</x:v>
      </x:c>
      <x:c r="R6" s="450" t="str">
        <x:v>CRC</x:v>
      </x:c>
      <x:c r="S6" s="450" t="n">
        <x:v>2026</x:v>
      </x:c>
      <x:c r="T6" s="450" t="str">
        <x:v>Sí</x:v>
      </x:c>
      <x:c r="U6" s="450" t="str">
        <x:v>Producto 2.1.2, Anexo técnico de ejemplos aplicados VDEP, Ejemplo 1, pp. 3–4 (septiembre de 2026)</x:v>
      </x:c>
      <x:c r="V6" s="450" t="str">
        <x:v>3–4</x:v>
      </x:c>
      <x:c r="W6" s="451" t="n">
        <x:v>400000</x:v>
      </x:c>
      <x:c r="X6" s="451" t="n">
        <x:v>470000</x:v>
      </x:c>
      <x:c r="Y6" s="451" t="n">
        <x:v>580000</x:v>
      </x:c>
      <x:c r="Z6" s="450" t="str">
        <x:v>Caso didáctico; no es tarifa oficial.</x:v>
      </x:c>
    </x:row>
    <x:row r="7">
      <x:c r="A7" s="450" t="str">
        <x:v>VDEP-EJ02</x:v>
      </x:c>
      <x:c r="B7" s="450" t="n">
        <x:v>2</x:v>
      </x:c>
      <x:c r="C7" s="450" t="str">
        <x:v>Primate no liberable con cuidado permanente</x:v>
      </x:c>
      <x:c r="D7" s="450" t="str">
        <x:v>Proyección de costos futuros y equivalencia de pérdida funcional.</x:v>
      </x:c>
      <x:c r="E7" s="450" t="str">
        <x:v>No especificada en el ejemplo</x:v>
      </x:c>
      <x:c r="F7" s="450" t="str">
        <x:v>Centro con cierre temporal no especificado</x:v>
      </x:c>
      <x:c r="G7" s="450" t="str">
        <x:v>Tenencia ilegal</x:v>
      </x:c>
      <x:c r="H7" s="450" t="str">
        <x:v>Un primate juvenil decomisado presenta impronta y un patógeno confirmado; el criterio preliminar indica que no podrá liberarse.</x:v>
      </x:c>
      <x:c r="I7" s="450" t="str">
        <x:v>Primate juvenil no liberable</x:v>
      </x:c>
      <x:c r="J7" s="450" t="str">
        <x:v>Sin el hecho, el individuo conservaría su función silvestre y el centro no asumiría cuarentena ni cuidado permanente. Inferencia operativa.</x:v>
      </x:c>
      <x:c r="K7" s="450" t="str">
        <x:v>Impronta, condición sanitaria y pérdida permanente de función silvestre.</x:v>
      </x:c>
      <x:c r="L7" s="450" t="str">
        <x:v>Atención inicial, cuidado futuro, efecto económico probado y equivalencia individual.</x:v>
      </x:c>
      <x:c r="M7" s="450" t="str">
        <x:v>A+C+D+E+F/R</x:v>
      </x:c>
      <x:c r="N7" s="450" t="str">
        <x:v>El cuidado futuro D y la equivalencia F/R miden consecuencias distintas; si R ejecutada produce la misma equivalencia de F, escoger una sola ruta.</x:v>
      </x:c>
      <x:c r="O7" s="450" t="str">
        <x:v>Sustituir horizonte histórico por edad/pronóstico individual, costos reales, recinto y gastos clínicos.</x:v>
      </x:c>
      <x:c r="P7" s="450" t="str">
        <x:v>Muerte o pérdida irreversible|Especial protección</x:v>
      </x:c>
      <x:c r="Q7" s="450" t="str">
        <x:v>Pérdida permanente de función silvestre; G no añade un porcentaje.</x:v>
      </x:c>
      <x:c r="R7" s="450" t="str">
        <x:v>CRC</x:v>
      </x:c>
      <x:c r="S7" s="450" t="n">
        <x:v>2026</x:v>
      </x:c>
      <x:c r="T7" s="450" t="str">
        <x:v>Sí</x:v>
      </x:c>
      <x:c r="U7" s="450" t="str">
        <x:v>Producto 2.1.2, Anexo técnico de ejemplos aplicados VDEP, Ejemplo 2, pp. 5–7 (septiembre de 2026)</x:v>
      </x:c>
      <x:c r="V7" s="450" t="str">
        <x:v>5–7</x:v>
      </x:c>
      <x:c r="W7" s="451" t="n">
        <x:v>31040000</x:v>
      </x:c>
      <x:c r="X7" s="451" t="n">
        <x:v>36501000</x:v>
      </x:c>
      <x:c r="Y7" s="451" t="n">
        <x:v>41758000</x:v>
      </x:c>
      <x:c r="Z7" s="450" t="str">
        <x:v>Caso didáctico; no es tarifa oficial.</x:v>
      </x:c>
    </x:row>
    <x:row r="8">
      <x:c r="A8" s="450" t="str">
        <x:v>VDEP-EJ03</x:v>
      </x:c>
      <x:c r="B8" s="450" t="n">
        <x:v>3</x:v>
      </x:c>
      <x:c r="C8" s="450" t="str">
        <x:v>Muerte de una lapa reproductora de población amenazada</x:v>
      </x:c>
      <x:c r="D8" s="450" t="str">
        <x:v>Precio sombra de conservación sin multiplicadores automáticos por amenaza.</x:v>
      </x:c>
      <x:c r="E8" s="450" t="str">
        <x:v>No especificada en el ejemplo</x:v>
      </x:c>
      <x:c r="F8" s="450" t="str">
        <x:v>No especificada en el ejemplo</x:v>
      </x:c>
      <x:c r="G8" s="450" t="str">
        <x:v>Captura y muerte</x:v>
      </x:c>
      <x:c r="H8" s="450" t="str">
        <x:v>Una hembra adulta reproductora murió; se considera de alta prioridad de conservación y sujeta a CITES para el ejemplo.</x:v>
      </x:c>
      <x:c r="I8" s="450" t="str">
        <x:v>Lapa hembra adulta reproductora</x:v>
      </x:c>
      <x:c r="J8" s="450" t="str">
        <x:v>Sin la captura y muerte, el adulto reproductivo seguiría aportando a la población. Inferencia operativa.</x:v>
      </x:c>
      <x:c r="K8" s="450" t="str">
        <x:v>Pérdida irreversible de un adulto funcional y posible pérdida reproductiva.</x:v>
      </x:c>
      <x:c r="L8" s="450" t="str">
        <x:v>Equivalencia funcional, pérdida interina de servicio y respuesta pública.</x:v>
      </x:c>
      <x:c r="M8" s="450" t="str">
        <x:v>A+B+C+F/R+G</x:v>
      </x:c>
      <x:c r="N8" s="450" t="str">
        <x:v>Si una equivalencia R posterior produce la misma unidad biológica que el precio sombra F, no sumar ambas.</x:v>
      </x:c>
      <x:c r="O8" s="450" t="str">
        <x:v>Contrastar con modelo demográfico, supervivencia, fecundidad, valor reproductivo, población de origen e individuos-año.</x:v>
      </x:c>
      <x:c r="P8" s="450" t="str">
        <x:v>Muerte o pérdida irreversible|Especial protección|Afectación reproductiva o poblacional</x:v>
      </x:c>
      <x:c r="Q8" s="450" t="str">
        <x:v>Amenaza alta y regulación CITES se registran sin multiplicador monetario.</x:v>
      </x:c>
      <x:c r="R8" s="450" t="str">
        <x:v>CRC</x:v>
      </x:c>
      <x:c r="S8" s="450" t="n">
        <x:v>2026</x:v>
      </x:c>
      <x:c r="T8" s="450" t="str">
        <x:v>Sí</x:v>
      </x:c>
      <x:c r="U8" s="450" t="str">
        <x:v>Producto 2.1.2, Anexo técnico de ejemplos aplicados VDEP, Ejemplo 3, pp. 8–10 (septiembre de 2026)</x:v>
      </x:c>
      <x:c r="V8" s="450" t="str">
        <x:v>8–10</x:v>
      </x:c>
      <x:c r="W8" s="451" t="n">
        <x:v>9520000</x:v>
      </x:c>
      <x:c r="X8" s="451" t="n">
        <x:v>12120000</x:v>
      </x:c>
      <x:c r="Y8" s="451" t="n">
        <x:v>15845000</x:v>
      </x:c>
      <x:c r="Z8" s="450" t="str">
        <x:v>Caso didáctico; no es tarifa oficial.</x:v>
      </x:c>
    </x:row>
    <x:row r="9">
      <x:c r="A9" s="450" t="str">
        <x:v>VDEP-EJ04</x:v>
      </x:c>
      <x:c r="B9" s="450" t="n">
        <x:v>4</x:v>
      </x:c>
      <x:c r="C9" s="450" t="str">
        <x:v>Destrucción de 400 huevos de tortuga marina</x:v>
      </x:c>
      <x:c r="D9" s="450" t="str">
        <x:v>Conversión reproductiva de huevos a adultos-equivalentes.</x:v>
      </x:c>
      <x:c r="E9" s="450" t="str">
        <x:v>No especificada en el ejemplo</x:v>
      </x:c>
      <x:c r="F9" s="450" t="str">
        <x:v>Playa y temporada por registrar</x:v>
      </x:c>
      <x:c r="G9" s="450" t="str">
        <x:v>Saqueo o destrucción de nido</x:v>
      </x:c>
      <x:c r="H9" s="450" t="str">
        <x:v>Se destruyeron o extrajeron 400 huevos; el ejemplo usa supervivencia huevo-adulto de 0,15 % a 0,25 %.</x:v>
      </x:c>
      <x:c r="I9" s="450" t="str">
        <x:v>Lote de 400 huevos de tortuga marina</x:v>
      </x:c>
      <x:c r="J9" s="450" t="str">
        <x:v>Sin el hecho, los huevos habrían seguido el proceso natural de reclutamiento. Inferencia operativa.</x:v>
      </x:c>
      <x:c r="K9" s="450" t="str">
        <x:v>Producción biológica perdida equivalente a 0,60–1,00 adultos esperados.</x:v>
      </x:c>
      <x:c r="L9" s="450" t="str">
        <x:v>Equivalencia reproductiva y respuesta pública.</x:v>
      </x:c>
      <x:c r="M9" s="450" t="str">
        <x:v>A+C+F/R+G</x:v>
      </x:c>
      <x:c r="N9" s="450" t="str">
        <x:v>La conversión a adultos-equivalentes reemplaza el valor directo de los 400 huevos; no sumar ambos.</x:v>
      </x:c>
      <x:c r="O9" s="450" t="str">
        <x:v>Usar tasas locales por etapa, sex ratio, playa, temporada y conectividad poblacional.</x:v>
      </x:c>
      <x:c r="P9" s="450" t="str">
        <x:v>Muerte o pérdida irreversible|Afectación reproductiva o poblacional</x:v>
      </x:c>
      <x:c r="Q9" s="450" t="str">
        <x:v>Irreversibilidad alta del lote; sin multiplicador monetario.</x:v>
      </x:c>
      <x:c r="R9" s="450" t="str">
        <x:v>CRC</x:v>
      </x:c>
      <x:c r="S9" s="450" t="n">
        <x:v>2026</x:v>
      </x:c>
      <x:c r="T9" s="450" t="str">
        <x:v>Sí</x:v>
      </x:c>
      <x:c r="U9" s="450" t="str">
        <x:v>Producto 2.1.2, Anexo técnico de ejemplos aplicados VDEP, Ejemplo 4, pp. 11–12 (septiembre de 2026)</x:v>
      </x:c>
      <x:c r="V9" s="450" t="str">
        <x:v>11–12</x:v>
      </x:c>
      <x:c r="W9" s="451" t="n">
        <x:v>5200000</x:v>
      </x:c>
      <x:c r="X9" s="451" t="n">
        <x:v>7100000</x:v>
      </x:c>
      <x:c r="Y9" s="451" t="n">
        <x:v>9200000</x:v>
      </x:c>
      <x:c r="Z9" s="450" t="str">
        <x:v>Caso didáctico; no es tarifa oficial.</x:v>
      </x:c>
    </x:row>
    <x:row r="10">
      <x:c r="A10" s="450" t="str">
        <x:v>VDEP-EJ05</x:v>
      </x:c>
      <x:c r="B10" s="450" t="n">
        <x:v>5</x:v>
      </x:c>
      <x:c r="C10" s="450" t="str">
        <x:v>Extracción y daño de 150 m² de coral</x:v>
      </x:c>
      <x:c r="D10" s="450" t="str">
        <x:v>Transferencia de beneficios y separación de restauración y pérdidas interinas.</x:v>
      </x:c>
      <x:c r="E10" s="450" t="str">
        <x:v>No especificada en el ejemplo</x:v>
      </x:c>
      <x:c r="F10" s="450" t="str">
        <x:v>Arrecife no especificado</x:v>
      </x:c>
      <x:c r="G10" s="450" t="str">
        <x:v>Extracción o daño</x:v>
      </x:c>
      <x:c r="H10" s="450" t="str">
        <x:v>Se afectaron 150 m² de coral; no existe estudio económico local y se usan costos y valores transferidos didácticos.</x:v>
      </x:c>
      <x:c r="I10" s="450" t="str">
        <x:v>150 m² de coral</x:v>
      </x:c>
      <x:c r="J10" s="450" t="str">
        <x:v>Sin el evento, la cobertura y estructura coralina seguirían prestando funciones. Inferencia operativa.</x:v>
      </x:c>
      <x:c r="K10" s="450" t="str">
        <x:v>Pérdida de cobertura y estructura durante 8–12 años.</x:v>
      </x:c>
      <x:c r="L10" s="450" t="str">
        <x:v>Restauración, pérdidas interinas de servicios y respuesta pública.</x:v>
      </x:c>
      <x:c r="M10" s="450" t="str">
        <x:v>A+B+C+R</x:v>
      </x:c>
      <x:c r="N10" s="450" t="str">
        <x:v>B conserva solo pérdidas durante la recuperación; no sumar el valor total del arrecife ni dividirlo entre especies.</x:v>
      </x:c>
      <x:c r="O10" s="450" t="str">
        <x:v>Sustituir valores transferidos por recuperación local, función, beneficiarios y presupuesto real de restauración.</x:v>
      </x:c>
      <x:c r="P10" s="450" t="str">
        <x:v>Daño de lenta recuperación</x:v>
      </x:c>
      <x:c r="Q10" s="450" t="str">
        <x:v>La gravedad se describe por la recuperación; no multiplica el monto.</x:v>
      </x:c>
      <x:c r="R10" s="450" t="str">
        <x:v>CRC</x:v>
      </x:c>
      <x:c r="S10" s="450" t="n">
        <x:v>2026</x:v>
      </x:c>
      <x:c r="T10" s="450" t="str">
        <x:v>Sí</x:v>
      </x:c>
      <x:c r="U10" s="450" t="str">
        <x:v>Producto 2.1.2, Anexo técnico de ejemplos aplicados VDEP, Ejemplo 5, pp. 13–14 (septiembre de 2026)</x:v>
      </x:c>
      <x:c r="V10" s="450" t="str">
        <x:v>13–14</x:v>
      </x:c>
      <x:c r="W10" s="451" t="n">
        <x:v>8970000</x:v>
      </x:c>
      <x:c r="X10" s="451" t="n">
        <x:v>10650000</x:v>
      </x:c>
      <x:c r="Y10" s="451" t="n">
        <x:v>12750000</x:v>
      </x:c>
      <x:c r="Z10" s="450" t="str">
        <x:v>Caso didáctico; no es tarifa oficial.</x:v>
      </x:c>
    </x:row>
    <x:row r="11">
      <x:c r="A11" s="450" t="str">
        <x:v>VDEP-EJ06</x:v>
      </x:c>
      <x:c r="B11" s="450" t="n">
        <x:v>6</x:v>
      </x:c>
      <x:c r="C11" s="450" t="str">
        <x:v>Cincuenta orquídeas traficadas sin servicio monetizable</x:v>
      </x:c>
      <x:c r="D11" s="450" t="str">
        <x:v>Valoración sin forzar una Cuenta B cuando no existe nexo defendible.</x:v>
      </x:c>
      <x:c r="E11" s="450" t="str">
        <x:v>No especificada en el ejemplo</x:v>
      </x:c>
      <x:c r="F11" s="450" t="str">
        <x:v>Vivero no especificado</x:v>
      </x:c>
      <x:c r="G11" s="450" t="str">
        <x:v>Tráfico de plantas</x:v>
      </x:c>
      <x:c r="H11" s="450" t="str">
        <x:v>Se recuperaron 50 plantas; la supervivencia y reintroducción final están pendientes y no existe base para monetizar un servicio específico.</x:v>
      </x:c>
      <x:c r="I11" s="450" t="str">
        <x:v>50 orquídeas</x:v>
      </x:c>
      <x:c r="J11" s="450" t="str">
        <x:v>Sin el tráfico, las plantas permanecerían en el medio. Inferencia operativa.</x:v>
      </x:c>
      <x:c r="K11" s="450" t="str">
        <x:v>Extracción del medio y riesgo de mortalidad.</x:v>
      </x:c>
      <x:c r="L11" s="450" t="str">
        <x:v>Custodia, reintroducción o equivalencia y respuesta pública.</x:v>
      </x:c>
      <x:c r="M11" s="450" t="str">
        <x:v>A+C+D+F/R</x:v>
      </x:c>
      <x:c r="N11" s="450" t="str">
        <x:v>No inventar un servicio para llenar B; si R representa la misma equivalencia que F, usar una sola ruta.</x:v>
      </x:c>
      <x:c r="O11" s="450" t="str">
        <x:v>Registrar reintroducciones, muertes, costos reales de vivero y precio sombra solo para pérdidas irreversibles.</x:v>
      </x:c>
      <x:c r="P11" s="450" t="str">
        <x:v>Especial protección</x:v>
      </x:c>
      <x:c r="Q11" s="450" t="str">
        <x:v>Endemismo y singularidad genética deben registrarse si el peritaje los confirma.</x:v>
      </x:c>
      <x:c r="R11" s="450" t="str">
        <x:v>CRC</x:v>
      </x:c>
      <x:c r="S11" s="450" t="n">
        <x:v>2026</x:v>
      </x:c>
      <x:c r="T11" s="450" t="str">
        <x:v>Sí</x:v>
      </x:c>
      <x:c r="U11" s="450" t="str">
        <x:v>Producto 2.1.2, Anexo técnico de ejemplos aplicados VDEP, Ejemplo 6, pp. 15–16 (septiembre de 2026)</x:v>
      </x:c>
      <x:c r="V11" s="450" t="str">
        <x:v>15–16</x:v>
      </x:c>
      <x:c r="W11" s="451" t="n">
        <x:v>2950000</x:v>
      </x:c>
      <x:c r="X11" s="451" t="n">
        <x:v>3500000</x:v>
      </x:c>
      <x:c r="Y11" s="451" t="n">
        <x:v>4050000</x:v>
      </x:c>
      <x:c r="Z11" s="450" t="str">
        <x:v>Caso didáctico; no es tarifa oficial.</x:v>
      </x:c>
    </x:row>
    <x:row r="12">
      <x:c r="A12" s="450" t="str">
        <x:v>VDEP-EJ07</x:v>
      </x:c>
      <x:c r="B12" s="450" t="n">
        <x:v>7</x:v>
      </x:c>
      <x:c r="C12" s="450" t="str">
        <x:v>Tala de un árbol-nido para capturar dos polluelos</x:v>
      </x:c>
      <x:c r="D12" s="450" t="str">
        <x:v>Daño simultáneo a individuos y hábitat con control explícito de doble conteo.</x:v>
      </x:c>
      <x:c r="E12" s="450" t="str">
        <x:v>No especificada en el ejemplo</x:v>
      </x:c>
      <x:c r="F12" s="450" t="str">
        <x:v>Bosque no especificado</x:v>
      </x:c>
      <x:c r="G12" s="450" t="str">
        <x:v>Tala y captura</x:v>
      </x:c>
      <x:c r="H12" s="450" t="str">
        <x:v>Se capturaron dos polluelos, uno sobrevivió y requiere atención; un árbol-nido fue talado.</x:v>
      </x:c>
      <x:c r="I12" s="450" t="str">
        <x:v>Dos polluelos y un árbol-nido</x:v>
      </x:c>
      <x:c r="J12" s="450" t="str">
        <x:v>Sin el evento, los polluelos y la estructura de anidación habrían permanecido. Inferencia operativa.</x:v>
      </x:c>
      <x:c r="K12" s="450" t="str">
        <x:v>Pérdida individual y de estructura de anidación.</x:v>
      </x:c>
      <x:c r="L12" s="450" t="str">
        <x:v>Equivalencia de polluelos, restauración de hábitat, pérdidas interinas, respuesta y rescate.</x:v>
      </x:c>
      <x:c r="M12" s="450" t="str">
        <x:v>A+B+C+D+F/R+G</x:v>
      </x:c>
      <x:c r="N12" s="450" t="str">
        <x:v>No usar la pérdida del árbol para inflar el valor de los polluelos; B conserva solo pérdida interina o residual.</x:v>
      </x:c>
      <x:c r="O12" s="450" t="str">
        <x:v>Sustituir supervivencia, restauración y atención por datos específicos y verificar recuperación de la función de anidación.</x:v>
      </x:c>
      <x:c r="P12" s="450" t="str">
        <x:v>Afectación reproductiva o poblacional|Daño de lenta recuperación</x:v>
      </x:c>
      <x:c r="Q12" s="450" t="str">
        <x:v>Daño a individuos y hábitat; sin multiplicador.</x:v>
      </x:c>
      <x:c r="R12" s="450" t="str">
        <x:v>CRC</x:v>
      </x:c>
      <x:c r="S12" s="450" t="n">
        <x:v>2026</x:v>
      </x:c>
      <x:c r="T12" s="450" t="str">
        <x:v>Sí</x:v>
      </x:c>
      <x:c r="U12" s="450" t="str">
        <x:v>Producto 2.1.2, Anexo técnico de ejemplos aplicados VDEP, Ejemplo 7, pp. 17–18 (septiembre de 2026)</x:v>
      </x:c>
      <x:c r="V12" s="450" t="str">
        <x:v>17–18</x:v>
      </x:c>
      <x:c r="W12" s="451" t="n">
        <x:v>6075000</x:v>
      </x:c>
      <x:c r="X12" s="451" t="n">
        <x:v>8450000</x:v>
      </x:c>
      <x:c r="Y12" s="451" t="n">
        <x:v>11025000</x:v>
      </x:c>
      <x:c r="Z12" s="450" t="str">
        <x:v>Caso didáctico; no es tarifa oficial.</x:v>
      </x:c>
    </x:row>
    <x:row r="13">
      <x:c r="A13" s="450" t="str">
        <x:v>VDEP-EJ08</x:v>
      </x:c>
      <x:c r="B13" s="450" t="n">
        <x:v>8</x:v>
      </x:c>
      <x:c r="C13" s="450" t="str">
        <x:v>Paquete postal con fauna pequeña y número incierto</x:v>
      </x:c>
      <x:c r="D13" s="450" t="str">
        <x:v>Uso de un rango forense sin multiplicador universal de subdetección.</x:v>
      </x:c>
      <x:c r="E13" s="450" t="str">
        <x:v>Aduanas y autoridad no especificadas</x:v>
      </x:c>
      <x:c r="F13" s="450" t="str">
        <x:v>Ingreso postal no especificado</x:v>
      </x:c>
      <x:c r="G13" s="450" t="str">
        <x:v>Envío por paquetería</x:v>
      </x:c>
      <x:c r="H13" s="450" t="str">
        <x:v>El paquete contiene restos y ejemplares; el recuento forense estima 120–180 individuos, central 150, y recupera 15 sobrevivientes.</x:v>
      </x:c>
      <x:c r="I13" s="450" t="str">
        <x:v>Lote de fauna pequeña</x:v>
      </x:c>
      <x:c r="J13" s="450" t="str">
        <x:v>Sin el envío, los individuos no habrían sufrido mortalidad, daño ni manejo forense. Inferencia operativa.</x:v>
      </x:c>
      <x:c r="K13" s="450" t="str">
        <x:v>Mortalidad o daño con número total incierto.</x:v>
      </x:c>
      <x:c r="L13" s="450" t="str">
        <x:v>Equivalencia del lote, identificación pericial y atención de sobrevivientes.</x:v>
      </x:c>
      <x:c r="M13" s="450" t="str">
        <x:v>A+C+D+F/R</x:v>
      </x:c>
      <x:c r="N13" s="450" t="str">
        <x:v>El rango de N sustituye un factor arbitrario de mortalidad oculta; no añadir porcentaje de subdetección.</x:v>
      </x:c>
      <x:c r="O13" s="450" t="str">
        <x:v>Determinar recuento taxonómico, mortalidad confirmada, días-animal, liberaciones y costos reales de forensia.</x:v>
      </x:c>
      <x:c r="P13" s="450" t="str">
        <x:v>Muerte o pérdida irreversible</x:v>
      </x:c>
      <x:c r="Q13" s="450" t="str">
        <x:v>La incertidumbre se expresa como rango, no como agravante monetario.</x:v>
      </x:c>
      <x:c r="R13" s="450" t="str">
        <x:v>CRC</x:v>
      </x:c>
      <x:c r="S13" s="450" t="n">
        <x:v>2026</x:v>
      </x:c>
      <x:c r="T13" s="450" t="str">
        <x:v>Sí</x:v>
      </x:c>
      <x:c r="U13" s="450" t="str">
        <x:v>Producto 2.1.2, Anexo técnico de ejemplos aplicados VDEP, Ejemplo 8, pp. 19–20 (septiembre de 2026)</x:v>
      </x:c>
      <x:c r="V13" s="450" t="str">
        <x:v>19–20</x:v>
      </x:c>
      <x:c r="W13" s="451" t="n">
        <x:v>3750000</x:v>
      </x:c>
      <x:c r="X13" s="451" t="n">
        <x:v>4550000</x:v>
      </x:c>
      <x:c r="Y13" s="451" t="n">
        <x:v>5350000</x:v>
      </x:c>
      <x:c r="Z13" s="450" t="str">
        <x:v>Caso didáctico; no es tarifa oficial.</x:v>
      </x:c>
    </x:row>
    <x:row r="14">
      <x:c r="A14" s="450" t="str">
        <x:v>VDEP-EJ09</x:v>
      </x:c>
      <x:c r="B14" s="450" t="n">
        <x:v>9</x:v>
      </x:c>
      <x:c r="C14" s="450" t="str">
        <x:v>Tráfico con apertura de acceso y daño a 0,6 ha de manglar</x:v>
      </x:c>
      <x:c r="D14" s="450" t="str">
        <x:v>Caso combinado de especímenes, daño territorial, servicios y restauración.</x:v>
      </x:c>
      <x:c r="E14" s="450" t="str">
        <x:v>No especificada en el ejemplo</x:v>
      </x:c>
      <x:c r="F14" s="450" t="str">
        <x:v>Manglar no especificado</x:v>
      </x:c>
      <x:c r="G14" s="450" t="str">
        <x:v>Apertura de acceso y tráfico</x:v>
      </x:c>
      <x:c r="H14" s="450" t="str">
        <x:v>Ocho aves se asocian al evento, cinco fueron recuperadas y 0,6 ha de manglar se atribuyen a la apertura de acceso.</x:v>
      </x:c>
      <x:c r="I14" s="450" t="str">
        <x:v>Ocho aves y 0,6 ha de manglar</x:v>
      </x:c>
      <x:c r="J14" s="450" t="str">
        <x:v>Sin el evento, las aves y el manglar no sufrirían la pérdida individual ni el daño territorial. Inferencia operativa.</x:v>
      </x:c>
      <x:c r="K14" s="450" t="str">
        <x:v>Pérdida individual y daño territorial causalmente atribuido.</x:v>
      </x:c>
      <x:c r="L14" s="450" t="str">
        <x:v>Equivalencia de aves, restauración de manglar, pérdidas interinas, respuesta y rescate.</x:v>
      </x:c>
      <x:c r="M14" s="450" t="str">
        <x:v>A+B+C+D+F/R+G</x:v>
      </x:c>
      <x:c r="N14" s="450" t="str">
        <x:v>R y B son compatibles solo porque B representa pérdidas interinas; si falla la causalidad territorial, excluir ambas.</x:v>
      </x:c>
      <x:c r="O14" s="450" t="str">
        <x:v>Reemplazar comparables por proyecto local, estudio de servicios y equivalencia biológica específica.</x:v>
      </x:c>
      <x:c r="P14" s="450" t="str">
        <x:v>Daño de lenta recuperación|Afectación reproductiva o poblacional</x:v>
      </x:c>
      <x:c r="Q14" s="450" t="str">
        <x:v>La causalidad territorial debe acreditarse antes de incluir manglar.</x:v>
      </x:c>
      <x:c r="R14" s="450" t="str">
        <x:v>CRC</x:v>
      </x:c>
      <x:c r="S14" s="450" t="n">
        <x:v>2026</x:v>
      </x:c>
      <x:c r="T14" s="450" t="str">
        <x:v>Sí</x:v>
      </x:c>
      <x:c r="U14" s="450" t="str">
        <x:v>Producto 2.1.2, Anexo técnico de ejemplos aplicados VDEP, Ejemplo 9, pp. 21–22 (septiembre de 2026)</x:v>
      </x:c>
      <x:c r="V14" s="450" t="str">
        <x:v>21–22</x:v>
      </x:c>
      <x:c r="W14" s="451" t="n">
        <x:v>12580000</x:v>
      </x:c>
      <x:c r="X14" s="451" t="n">
        <x:v>15200000</x:v>
      </x:c>
      <x:c r="Y14" s="451" t="n">
        <x:v>18470000</x:v>
      </x:c>
      <x:c r="Z14" s="450" t="str">
        <x:v>Caso didáctico; no es tarifa oficial.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0" hidden="0" customWidth="1"/>
    <x:col min="12" max="12" width="40" hidden="0" customWidth="1"/>
  </x:cols>
  <x:sheetData>
    <x:row r="1">
      <x:c r="A1" s="503" t="str">
        <x:v>Receptores de los casos aplicados VDEP</x:v>
      </x:c>
      <x:c r="B1" s="503"/>
      <x:c r="C1" s="503"/>
      <x:c r="D1" s="503"/>
      <x:c r="E1" s="503"/>
      <x:c r="F1" s="503"/>
      <x:c r="G1" s="503"/>
      <x:c r="H1" s="503"/>
      <x:c r="I1" s="503"/>
      <x:c r="J1" s="503"/>
      <x:c r="K1" s="503"/>
      <x:c r="L1" s="503"/>
    </x:row>
    <x:row r="2">
      <x:c r="A2" s="501" t="str">
        <x:v>Una fila por receptor o hábitat. Estas cantidades se cargan en el inventario de la app y conservan notas no monetarias.</x:v>
      </x:c>
      <x:c r="B2" s="501"/>
      <x:c r="C2" s="501"/>
      <x:c r="D2" s="501"/>
      <x:c r="E2" s="501"/>
      <x:c r="F2" s="501"/>
      <x:c r="G2" s="501"/>
      <x:c r="H2" s="501"/>
      <x:c r="I2" s="501"/>
      <x:c r="J2" s="501"/>
      <x:c r="K2" s="501"/>
      <x:c r="L2" s="501"/>
    </x:row>
    <x:row r="3">
      <x:c r="A3" s="450"/>
      <x:c r="B3" s="450"/>
      <x:c r="C3" s="450"/>
      <x:c r="D3" s="450"/>
      <x:c r="E3" s="450"/>
      <x:c r="F3" s="450"/>
      <x:c r="G3" s="450"/>
      <x:c r="H3" s="450"/>
      <x:c r="I3" s="450"/>
      <x:c r="J3" s="450"/>
      <x:c r="K3" s="450"/>
      <x:c r="L3" s="450"/>
    </x:row>
    <x:row r="4">
      <x:c r="A4" s="450"/>
      <x:c r="B4" s="450"/>
      <x:c r="C4" s="450"/>
      <x:c r="D4" s="450"/>
      <x:c r="E4" s="450"/>
      <x:c r="F4" s="450"/>
      <x:c r="G4" s="450"/>
      <x:c r="H4" s="450"/>
      <x:c r="I4" s="450"/>
      <x:c r="J4" s="450"/>
      <x:c r="K4" s="450"/>
      <x:c r="L4" s="450"/>
    </x:row>
    <x:row r="5">
      <x:c r="A5" s="502" t="str">
        <x:v>ID_CASO</x:v>
      </x:c>
      <x:c r="B5" s="502" t="str">
        <x:v>ORDEN</x:v>
      </x:c>
      <x:c r="C5" s="502" t="str">
        <x:v>ESPECIE_GRUPO</x:v>
      </x:c>
      <x:c r="D5" s="502" t="str">
        <x:v>GRUPO_TAXONOMICO</x:v>
      </x:c>
      <x:c r="E5" s="502" t="str">
        <x:v>CANTIDAD</x:v>
      </x:c>
      <x:c r="F5" s="502" t="str">
        <x:v>UNIDAD</x:v>
      </x:c>
      <x:c r="G5" s="502" t="str">
        <x:v>TIPO_AFECTACION</x:v>
      </x:c>
      <x:c r="H5" s="502" t="str">
        <x:v>FUNCION_ECOLOGICA</x:v>
      </x:c>
      <x:c r="I5" s="502" t="str">
        <x:v>NEXO_CAUSAL</x:v>
      </x:c>
      <x:c r="J5" s="502" t="str">
        <x:v>NIVEL_EVIDENCIA</x:v>
      </x:c>
      <x:c r="K5" s="502" t="str">
        <x:v>FUENTE_CITA</x:v>
      </x:c>
      <x:c r="L5" s="502" t="str">
        <x:v>NOTAS</x:v>
      </x:c>
    </x:row>
    <x:row r="6">
      <x:c r="A6" s="450" t="str">
        <x:v>VDEP-EJ01</x:v>
      </x:c>
      <x:c r="B6" s="450" t="n">
        <x:v>1</x:v>
      </x:c>
      <x:c r="C6" s="450" t="str">
        <x:v>Pericos vivos en rehabilitación</x:v>
      </x:c>
      <x:c r="D6" s="450" t="str">
        <x:v>Ave</x:v>
      </x:c>
      <x:c r="E6" s="450" t="n">
        <x:v>2</x:v>
      </x:c>
      <x:c r="F6" s="450" t="str">
        <x:v>individuos</x:v>
      </x:c>
      <x:c r="G6" s="450" t="str">
        <x:v>Lesión</x:v>
      </x:c>
      <x:c r="H6" s="450" t="str">
        <x:v>Función silvestre temporalmente ausente; no cuantificada</x:v>
      </x:c>
      <x:c r="I6" s="450" t="str">
        <x:v>Sí</x:v>
      </x:c>
      <x:c r="J6" s="450" t="str">
        <x:v>A</x:v>
      </x:c>
      <x:c r="K6" s="450" t="str">
        <x:v>Producto 2.1.2, Anexo técnico de ejemplos aplicados VDEP, Ejemplo 1, pp. 3–4 (septiembre de 2026)</x:v>
      </x:c>
      <x:c r="L6" s="450" t="str">
        <x:v>Muertes: 0. Liberación y lesión residual pendientes.</x:v>
      </x:c>
    </x:row>
    <x:row r="7">
      <x:c r="A7" s="450" t="str">
        <x:v>VDEP-EJ02</x:v>
      </x:c>
      <x:c r="B7" s="450" t="n">
        <x:v>1</x:v>
      </x:c>
      <x:c r="C7" s="450" t="str">
        <x:v>Primate juvenil no liberable</x:v>
      </x:c>
      <x:c r="D7" s="450" t="str">
        <x:v>Mamífero</x:v>
      </x:c>
      <x:c r="E7" s="450" t="n">
        <x:v>1</x:v>
      </x:c>
      <x:c r="F7" s="450" t="str">
        <x:v>individuo</x:v>
      </x:c>
      <x:c r="G7" s="450" t="str">
        <x:v>Extracción</x:v>
      </x:c>
      <x:c r="H7" s="450" t="str">
        <x:v>Pérdida permanente de función silvestre</x:v>
      </x:c>
      <x:c r="I7" s="450" t="str">
        <x:v>Sí</x:v>
      </x:c>
      <x:c r="J7" s="450" t="str">
        <x:v>B</x:v>
      </x:c>
      <x:c r="K7" s="450" t="str">
        <x:v>Producto 2.1.2, Anexo técnico de ejemplos aplicados VDEP, Ejemplo 2, pp. 5–7 (septiembre de 2026)</x:v>
      </x:c>
      <x:c r="L7" s="450" t="str">
        <x:v>Impronta y patógeno confirmado; horizonte 12–18 años.</x:v>
      </x:c>
    </x:row>
    <x:row r="8">
      <x:c r="A8" s="450" t="str">
        <x:v>VDEP-EJ03</x:v>
      </x:c>
      <x:c r="B8" s="450" t="n">
        <x:v>1</x:v>
      </x:c>
      <x:c r="C8" s="450" t="str">
        <x:v>Lapa hembra adulta reproductora</x:v>
      </x:c>
      <x:c r="D8" s="450" t="str">
        <x:v>Ave</x:v>
      </x:c>
      <x:c r="E8" s="450" t="n">
        <x:v>1</x:v>
      </x:c>
      <x:c r="F8" s="450" t="str">
        <x:v>individuo</x:v>
      </x:c>
      <x:c r="G8" s="450" t="str">
        <x:v>Mortalidad</x:v>
      </x:c>
      <x:c r="H8" s="450" t="str">
        <x:v>Función ecológica y reproductiva</x:v>
      </x:c>
      <x:c r="I8" s="450" t="str">
        <x:v>Sí</x:v>
      </x:c>
      <x:c r="J8" s="450" t="str">
        <x:v>A</x:v>
      </x:c>
      <x:c r="K8" s="450" t="str">
        <x:v>Producto 2.1.2, Anexo técnico de ejemplos aplicados VDEP, Ejemplo 3, pp. 8–10 (septiembre de 2026)</x:v>
      </x:c>
      <x:c r="L8" s="450" t="str">
        <x:v>Alta prioridad de conservación y regulación CITES en el ejemplo.</x:v>
      </x:c>
    </x:row>
    <x:row r="9">
      <x:c r="A9" s="450" t="str">
        <x:v>VDEP-EJ04</x:v>
      </x:c>
      <x:c r="B9" s="450" t="n">
        <x:v>1</x:v>
      </x:c>
      <x:c r="C9" s="450" t="str">
        <x:v>Huevos de tortuga marina</x:v>
      </x:c>
      <x:c r="D9" s="450" t="str">
        <x:v>Reptil</x:v>
      </x:c>
      <x:c r="E9" s="450" t="n">
        <x:v>400</x:v>
      </x:c>
      <x:c r="F9" s="450" t="str">
        <x:v>huevos</x:v>
      </x:c>
      <x:c r="G9" s="450" t="str">
        <x:v>Pérdida reproductiva</x:v>
      </x:c>
      <x:c r="H9" s="450" t="str">
        <x:v>Reclutamiento poblacional</x:v>
      </x:c>
      <x:c r="I9" s="450" t="str">
        <x:v>Sí</x:v>
      </x:c>
      <x:c r="J9" s="450" t="str">
        <x:v>B</x:v>
      </x:c>
      <x:c r="K9" s="450" t="str">
        <x:v>Producto 2.1.2, Anexo técnico de ejemplos aplicados VDEP, Ejemplo 4, pp. 11–12 (septiembre de 2026)</x:v>
      </x:c>
      <x:c r="L9" s="450" t="str">
        <x:v>Equivalen a 0,60 / 0,80 / 1,00 adultos esperados.</x:v>
      </x:c>
    </x:row>
    <x:row r="10">
      <x:c r="A10" s="450" t="str">
        <x:v>VDEP-EJ05</x:v>
      </x:c>
      <x:c r="B10" s="450" t="n">
        <x:v>1</x:v>
      </x:c>
      <x:c r="C10" s="450" t="str">
        <x:v>Coral afectado</x:v>
      </x:c>
      <x:c r="D10" s="450" t="str">
        <x:v>Coral</x:v>
      </x:c>
      <x:c r="E10" s="450" t="n">
        <x:v>150</x:v>
      </x:c>
      <x:c r="F10" s="450" t="str">
        <x:v>m²</x:v>
      </x:c>
      <x:c r="G10" s="450" t="str">
        <x:v>Hábitat</x:v>
      </x:c>
      <x:c r="H10" s="450" t="str">
        <x:v>Cobertura, estructura y funciones de arrecife</x:v>
      </x:c>
      <x:c r="I10" s="450" t="str">
        <x:v>Sí</x:v>
      </x:c>
      <x:c r="J10" s="450" t="str">
        <x:v>B</x:v>
      </x:c>
      <x:c r="K10" s="450" t="str">
        <x:v>Producto 2.1.2, Anexo técnico de ejemplos aplicados VDEP, Ejemplo 5, pp. 13–14 (septiembre de 2026)</x:v>
      </x:c>
      <x:c r="L10" s="450" t="str">
        <x:v>Horizonte didáctico de recuperación: 8 / 10 / 12 años.</x:v>
      </x:c>
    </x:row>
    <x:row r="11">
      <x:c r="A11" s="450" t="str">
        <x:v>VDEP-EJ06</x:v>
      </x:c>
      <x:c r="B11" s="450" t="n">
        <x:v>1</x:v>
      </x:c>
      <x:c r="C11" s="450" t="str">
        <x:v>Orquídeas recuperadas</x:v>
      </x:c>
      <x:c r="D11" s="450" t="str">
        <x:v>Planta</x:v>
      </x:c>
      <x:c r="E11" s="450" t="n">
        <x:v>50</x:v>
      </x:c>
      <x:c r="F11" s="450" t="str">
        <x:v>plantas</x:v>
      </x:c>
      <x:c r="G11" s="450" t="str">
        <x:v>Extracción</x:v>
      </x:c>
      <x:c r="H11" s="450" t="str">
        <x:v>Diversidad vegetal; servicio específico no monetizado</x:v>
      </x:c>
      <x:c r="I11" s="450" t="str">
        <x:v>Sí</x:v>
      </x:c>
      <x:c r="J11" s="450" t="str">
        <x:v>B</x:v>
      </x:c>
      <x:c r="K11" s="450" t="str">
        <x:v>Producto 2.1.2, Anexo técnico de ejemplos aplicados VDEP, Ejemplo 6, pp. 15–16 (septiembre de 2026)</x:v>
      </x:c>
      <x:c r="L11" s="450" t="str">
        <x:v>Supervivencia y reintroducción final pendientes.</x:v>
      </x:c>
    </x:row>
    <x:row r="12">
      <x:c r="A12" s="450" t="str">
        <x:v>VDEP-EJ07</x:v>
      </x:c>
      <x:c r="B12" s="450" t="n">
        <x:v>1</x:v>
      </x:c>
      <x:c r="C12" s="450" t="str">
        <x:v>Polluelos capturados</x:v>
      </x:c>
      <x:c r="D12" s="450" t="str">
        <x:v>Ave</x:v>
      </x:c>
      <x:c r="E12" s="450" t="n">
        <x:v>2</x:v>
      </x:c>
      <x:c r="F12" s="450" t="str">
        <x:v>individuos</x:v>
      </x:c>
      <x:c r="G12" s="450" t="str">
        <x:v>Pérdida reproductiva</x:v>
      </x:c>
      <x:c r="H12" s="450" t="str">
        <x:v>Reclutamiento y reproducción</x:v>
      </x:c>
      <x:c r="I12" s="450" t="str">
        <x:v>Sí</x:v>
      </x:c>
      <x:c r="J12" s="450" t="str">
        <x:v>A</x:v>
      </x:c>
      <x:c r="K12" s="450" t="str">
        <x:v>Producto 2.1.2, Anexo técnico de ejemplos aplicados VDEP, Ejemplo 7, pp. 17–18 (septiembre de 2026)</x:v>
      </x:c>
      <x:c r="L12" s="450" t="str">
        <x:v>Un polluelo vivo al corte; equivalencia 0,35 / 0,50 / 0,65 adulto.</x:v>
      </x:c>
    </x:row>
    <x:row r="13">
      <x:c r="A13" s="450" t="str">
        <x:v>VDEP-EJ07</x:v>
      </x:c>
      <x:c r="B13" s="450" t="n">
        <x:v>2</x:v>
      </x:c>
      <x:c r="C13" s="450" t="str">
        <x:v>Árbol-nido talado</x:v>
      </x:c>
      <x:c r="D13" s="450" t="str">
        <x:v>Hábitat</x:v>
      </x:c>
      <x:c r="E13" s="450" t="n">
        <x:v>1</x:v>
      </x:c>
      <x:c r="F13" s="450" t="str">
        <x:v>estructura</x:v>
      </x:c>
      <x:c r="G13" s="450" t="str">
        <x:v>Hábitat</x:v>
      </x:c>
      <x:c r="H13" s="450" t="str">
        <x:v>Estructura de anidación</x:v>
      </x:c>
      <x:c r="I13" s="450" t="str">
        <x:v>Sí</x:v>
      </x:c>
      <x:c r="J13" s="450" t="str">
        <x:v>A</x:v>
      </x:c>
      <x:c r="K13" s="450" t="str">
        <x:v>Producto 2.1.2, Anexo técnico de ejemplos aplicados VDEP, Ejemplo 7, pp. 17–18 (septiembre de 2026)</x:v>
      </x:c>
      <x:c r="L13" s="450" t="str">
        <x:v>Pérdida de hábitat presente.</x:v>
      </x:c>
    </x:row>
    <x:row r="14">
      <x:c r="A14" s="450" t="str">
        <x:v>VDEP-EJ08</x:v>
      </x:c>
      <x:c r="B14" s="450" t="n">
        <x:v>1</x:v>
      </x:c>
      <x:c r="C14" s="450" t="str">
        <x:v>Lote de fauna pequeña</x:v>
      </x:c>
      <x:c r="D14" s="450" t="str">
        <x:v>Grupo mixto</x:v>
      </x:c>
      <x:c r="E14" s="450" t="n">
        <x:v>150</x:v>
      </x:c>
      <x:c r="F14" s="450" t="str">
        <x:v>individuos centrales</x:v>
      </x:c>
      <x:c r="G14" s="450" t="str">
        <x:v>Otra</x:v>
      </x:c>
      <x:c r="H14" s="450" t="str">
        <x:v>Funciones por determinar mediante peritaje</x:v>
      </x:c>
      <x:c r="I14" s="450" t="str">
        <x:v>Sí</x:v>
      </x:c>
      <x:c r="J14" s="450" t="str">
        <x:v>B</x:v>
      </x:c>
      <x:c r="K14" s="450" t="str">
        <x:v>Producto 2.1.2, Anexo técnico de ejemplos aplicados VDEP, Ejemplo 8, pp. 19–20 (septiembre de 2026)</x:v>
      </x:c>
      <x:c r="L14" s="450" t="str">
        <x:v>Rango forense 120–180; 15 sobrevivientes físicamente recuperados.</x:v>
      </x:c>
    </x:row>
    <x:row r="15">
      <x:c r="A15" s="450" t="str">
        <x:v>VDEP-EJ09</x:v>
      </x:c>
      <x:c r="B15" s="450" t="n">
        <x:v>1</x:v>
      </x:c>
      <x:c r="C15" s="450" t="str">
        <x:v>Aves asociadas al evento</x:v>
      </x:c>
      <x:c r="D15" s="450" t="str">
        <x:v>Ave</x:v>
      </x:c>
      <x:c r="E15" s="450" t="n">
        <x:v>8</x:v>
      </x:c>
      <x:c r="F15" s="450" t="str">
        <x:v>individuos</x:v>
      </x:c>
      <x:c r="G15" s="450" t="str">
        <x:v>Extracción</x:v>
      </x:c>
      <x:c r="H15" s="450" t="str">
        <x:v>Función silvestre de las aves</x:v>
      </x:c>
      <x:c r="I15" s="450" t="str">
        <x:v>Sí</x:v>
      </x:c>
      <x:c r="J15" s="450" t="str">
        <x:v>B</x:v>
      </x:c>
      <x:c r="K15" s="450" t="str">
        <x:v>Producto 2.1.2, Anexo técnico de ejemplos aplicados VDEP, Ejemplo 9, pp. 21–22 (septiembre de 2026)</x:v>
      </x:c>
      <x:c r="L15" s="450" t="str">
        <x:v>Cinco aves recuperadas para atención.</x:v>
      </x:c>
    </x:row>
    <x:row r="16">
      <x:c r="A16" s="450" t="str">
        <x:v>VDEP-EJ09</x:v>
      </x:c>
      <x:c r="B16" s="450" t="n">
        <x:v>2</x:v>
      </x:c>
      <x:c r="C16" s="450" t="str">
        <x:v>Manglar afectado</x:v>
      </x:c>
      <x:c r="D16" s="450" t="str">
        <x:v>Hábitat</x:v>
      </x:c>
      <x:c r="E16" s="450" t="n">
        <x:v>0.6</x:v>
      </x:c>
      <x:c r="F16" s="450" t="str">
        <x:v>hectáreas</x:v>
      </x:c>
      <x:c r="G16" s="450" t="str">
        <x:v>Hábitat</x:v>
      </x:c>
      <x:c r="H16" s="450" t="str">
        <x:v>Servicios y estructura de manglar</x:v>
      </x:c>
      <x:c r="I16" s="450" t="str">
        <x:v>Sí</x:v>
      </x:c>
      <x:c r="J16" s="450" t="str">
        <x:v>B</x:v>
      </x:c>
      <x:c r="K16" s="450" t="str">
        <x:v>Producto 2.1.2, Anexo técnico de ejemplos aplicados VDEP, Ejemplo 9, pp. 21–22 (septiembre de 2026)</x:v>
      </x:c>
      <x:c r="L16" s="450" t="str">
        <x:v>La causalidad territorial debe acreditarse.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30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  <x:col min="9" max="9" width="34" hidden="0" customWidth="1"/>
  </x:cols>
  <x:sheetData>
    <x:row r="1">
      <x:c r="A1" s="503" t="str">
        <x:v>Variables biofísicas y no monetarias de los casos VDEP</x:v>
      </x:c>
      <x:c r="B1" s="503"/>
      <x:c r="C1" s="503"/>
      <x:c r="D1" s="503"/>
      <x:c r="E1" s="503"/>
      <x:c r="F1" s="503"/>
      <x:c r="G1" s="503"/>
      <x:c r="H1" s="503"/>
      <x:c r="I1" s="503"/>
    </x:row>
    <x:row r="2">
      <x:c r="A2" s="501" t="str">
        <x:v>Estas variables permanecen en el resultado aunque no todas se conviertan en dinero.</x:v>
      </x:c>
      <x:c r="B2" s="501"/>
      <x:c r="C2" s="501"/>
      <x:c r="D2" s="501"/>
      <x:c r="E2" s="501"/>
      <x:c r="F2" s="501"/>
      <x:c r="G2" s="501"/>
      <x:c r="H2" s="501"/>
      <x:c r="I2" s="501"/>
    </x:row>
    <x:row r="3">
      <x:c r="A3" s="450"/>
      <x:c r="B3" s="450"/>
      <x:c r="C3" s="450"/>
      <x:c r="D3" s="450"/>
      <x:c r="E3" s="450"/>
      <x:c r="F3" s="450"/>
      <x:c r="G3" s="450"/>
      <x:c r="H3" s="450"/>
      <x:c r="I3" s="450"/>
    </x:row>
    <x:row r="4">
      <x:c r="A4" s="450"/>
      <x:c r="B4" s="450"/>
      <x:c r="C4" s="450"/>
      <x:c r="D4" s="450"/>
      <x:c r="E4" s="450"/>
      <x:c r="F4" s="450"/>
      <x:c r="G4" s="450"/>
      <x:c r="H4" s="450"/>
      <x:c r="I4" s="450"/>
    </x:row>
    <x:row r="5">
      <x:c r="A5" s="502" t="str">
        <x:v>ID_CASO</x:v>
      </x:c>
      <x:c r="B5" s="502" t="str">
        <x:v>ORDEN</x:v>
      </x:c>
      <x:c r="C5" s="502" t="str">
        <x:v>VARIABLE_INDICADOR</x:v>
      </x:c>
      <x:c r="D5" s="502" t="str">
        <x:v>UNIDAD</x:v>
      </x:c>
      <x:c r="E5" s="502" t="str">
        <x:v>BAJO</x:v>
      </x:c>
      <x:c r="F5" s="502" t="str">
        <x:v>CENTRAL</x:v>
      </x:c>
      <x:c r="G5" s="502" t="str">
        <x:v>ALTO_ESTADO</x:v>
      </x:c>
      <x:c r="H5" s="502" t="str">
        <x:v>FUENTE_CONDICION</x:v>
      </x:c>
      <x:c r="I5" s="502" t="str">
        <x:v>CUENTA</x:v>
      </x:c>
    </x:row>
    <x:row r="6">
      <x:c r="A6" s="450" t="str">
        <x:v>VDEP-EJ01</x:v>
      </x:c>
      <x:c r="B6" s="450" t="n">
        <x:v>1</x:v>
      </x:c>
      <x:c r="C6" s="450" t="str">
        <x:v>Ejemplares decomisados</x:v>
      </x:c>
      <x:c r="D6" s="450" t="str">
        <x:v>individuos</x:v>
      </x:c>
      <x:c r="E6" s="450" t="n">
        <x:v>2</x:v>
      </x:c>
      <x:c r="F6" s="450" t="n">
        <x:v>2</x:v>
      </x:c>
      <x:c r="G6" s="450" t="n">
        <x:v>2</x:v>
      </x:c>
      <x:c r="H6" s="450" t="str">
        <x:v>Observado</x:v>
      </x:c>
      <x:c r="I6" s="450" t="str">
        <x:v>A</x:v>
      </x:c>
    </x:row>
    <x:row r="7">
      <x:c r="A7" s="450" t="str">
        <x:v>VDEP-EJ01</x:v>
      </x:c>
      <x:c r="B7" s="450" t="n">
        <x:v>2</x:v>
      </x:c>
      <x:c r="C7" s="450" t="str">
        <x:v>Muertes</x:v>
      </x:c>
      <x:c r="D7" s="450" t="str">
        <x:v>individuos</x:v>
      </x:c>
      <x:c r="E7" s="450" t="n">
        <x:v>0</x:v>
      </x:c>
      <x:c r="F7" s="450" t="n">
        <x:v>0</x:v>
      </x:c>
      <x:c r="G7" s="450" t="n">
        <x:v>0</x:v>
      </x:c>
      <x:c r="H7" s="450" t="str">
        <x:v>Observado al corte</x:v>
      </x:c>
      <x:c r="I7" s="450" t="str">
        <x:v>A</x:v>
      </x:c>
    </x:row>
    <x:row r="8">
      <x:c r="A8" s="450" t="str">
        <x:v>VDEP-EJ01</x:v>
      </x:c>
      <x:c r="B8" s="450" t="n">
        <x:v>3</x:v>
      </x:c>
      <x:c r="C8" s="450" t="str">
        <x:v>Días-animal observados</x:v>
      </x:c>
      <x:c r="D8" s="450" t="str">
        <x:v>días-animal</x:v>
      </x:c>
      <x:c r="E8" s="450" t="n">
        <x:v>8</x:v>
      </x:c>
      <x:c r="F8" s="450" t="n">
        <x:v>8</x:v>
      </x:c>
      <x:c r="G8" s="450" t="n">
        <x:v>8</x:v>
      </x:c>
      <x:c r="H8" s="450" t="str">
        <x:v>Registro del centro</x:v>
      </x:c>
      <x:c r="I8" s="450" t="str">
        <x:v>D</x:v>
      </x:c>
    </x:row>
    <x:row r="9">
      <x:c r="A9" s="450" t="str">
        <x:v>VDEP-EJ01</x:v>
      </x:c>
      <x:c r="B9" s="450" t="n">
        <x:v>4</x:v>
      </x:c>
      <x:c r="C9" s="450" t="str">
        <x:v>Estancia total esperada</x:v>
      </x:c>
      <x:c r="D9" s="450" t="str">
        <x:v>días por individuo</x:v>
      </x:c>
      <x:c r="E9" s="450" t="n">
        <x:v>10</x:v>
      </x:c>
      <x:c r="F9" s="450" t="n">
        <x:v>14</x:v>
      </x:c>
      <x:c r="G9" s="450" t="n">
        <x:v>21</x:v>
      </x:c>
      <x:c r="H9" s="450" t="str">
        <x:v>Base histórica ficticia, n=42</x:v>
      </x:c>
      <x:c r="I9" s="450" t="str">
        <x:v>D</x:v>
      </x:c>
    </x:row>
    <x:row r="10">
      <x:c r="A10" s="450" t="str">
        <x:v>VDEP-EJ01</x:v>
      </x:c>
      <x:c r="B10" s="450" t="n">
        <x:v>5</x:v>
      </x:c>
      <x:c r="C10" s="450" t="str">
        <x:v>Exámenes clínicos</x:v>
      </x:c>
      <x:c r="D10" s="450" t="str">
        <x:v>procedimientos</x:v>
      </x:c>
      <x:c r="E10" s="450" t="n">
        <x:v>2</x:v>
      </x:c>
      <x:c r="F10" s="450" t="n">
        <x:v>2</x:v>
      </x:c>
      <x:c r="G10" s="450" t="n">
        <x:v>2</x:v>
      </x:c>
      <x:c r="H10" s="450" t="str">
        <x:v>Observado</x:v>
      </x:c>
      <x:c r="I10" s="450" t="str">
        <x:v>D</x:v>
      </x:c>
    </x:row>
    <x:row r="11">
      <x:c r="A11" s="450" t="str">
        <x:v>VDEP-EJ01</x:v>
      </x:c>
      <x:c r="B11" s="450" t="n">
        <x:v>6</x:v>
      </x:c>
      <x:c r="C11" s="450" t="str">
        <x:v>Resultado de liberación</x:v>
      </x:c>
      <x:c r="D11" s="450" t="str">
        <x:v>categoría</x:v>
      </x:c>
      <x:c r="E11" s="450" t="str">
        <x:v>pendiente</x:v>
      </x:c>
      <x:c r="F11" s="450" t="str">
        <x:v>pendiente</x:v>
      </x:c>
      <x:c r="G11" s="450" t="str">
        <x:v>pendiente</x:v>
      </x:c>
      <x:c r="H11" s="450" t="str">
        <x:v>Aún no observable</x:v>
      </x:c>
      <x:c r="I11" s="450" t="str">
        <x:v>R</x:v>
      </x:c>
    </x:row>
    <x:row r="12">
      <x:c r="A12" s="450" t="str">
        <x:v>VDEP-EJ01</x:v>
      </x:c>
      <x:c r="B12" s="450" t="n">
        <x:v>7</x:v>
      </x:c>
      <x:c r="C12" s="450" t="str">
        <x:v>Lesión residual</x:v>
      </x:c>
      <x:c r="D12" s="450" t="str">
        <x:v>categoría</x:v>
      </x:c>
      <x:c r="E12" s="450" t="str">
        <x:v>no determinada</x:v>
      </x:c>
      <x:c r="F12" s="450" t="str">
        <x:v>no determinada</x:v>
      </x:c>
      <x:c r="G12" s="450" t="str">
        <x:v>no determinada</x:v>
      </x:c>
      <x:c r="H12" s="450" t="str">
        <x:v>Aún no observable</x:v>
      </x:c>
      <x:c r="I12" s="450" t="str">
        <x:v>A</x:v>
      </x:c>
    </x:row>
    <x:row r="13">
      <x:c r="A13" s="450" t="str">
        <x:v>VDEP-EJ02</x:v>
      </x:c>
      <x:c r="B13" s="450" t="n">
        <x:v>1</x:v>
      </x:c>
      <x:c r="C13" s="450" t="str">
        <x:v>Ejemplares</x:v>
      </x:c>
      <x:c r="D13" s="450" t="str">
        <x:v>individuos</x:v>
      </x:c>
      <x:c r="E13" s="450" t="n">
        <x:v>1</x:v>
      </x:c>
      <x:c r="F13" s="450" t="n">
        <x:v>1</x:v>
      </x:c>
      <x:c r="G13" s="450" t="n">
        <x:v>1</x:v>
      </x:c>
      <x:c r="H13" s="450" t="str">
        <x:v>Observado</x:v>
      </x:c>
      <x:c r="I13" s="450" t="str">
        <x:v>A</x:v>
      </x:c>
    </x:row>
    <x:row r="14">
      <x:c r="A14" s="450" t="str">
        <x:v>VDEP-EJ02</x:v>
      </x:c>
      <x:c r="B14" s="450" t="n">
        <x:v>2</x:v>
      </x:c>
      <x:c r="C14" s="450" t="str">
        <x:v>Condición de liberación</x:v>
      </x:c>
      <x:c r="D14" s="450" t="str">
        <x:v>categoría</x:v>
      </x:c>
      <x:c r="E14" s="450" t="str">
        <x:v>no liberable</x:v>
      </x:c>
      <x:c r="F14" s="450" t="str">
        <x:v>no liberable</x:v>
      </x:c>
      <x:c r="G14" s="450" t="str">
        <x:v>no liberable</x:v>
      </x:c>
      <x:c r="H14" s="450" t="str">
        <x:v>Criterio técnico preliminar</x:v>
      </x:c>
      <x:c r="I14" s="450" t="str">
        <x:v>A/F</x:v>
      </x:c>
    </x:row>
    <x:row r="15">
      <x:c r="A15" s="450" t="str">
        <x:v>VDEP-EJ02</x:v>
      </x:c>
      <x:c r="B15" s="450" t="n">
        <x:v>3</x:v>
      </x:c>
      <x:c r="C15" s="450" t="str">
        <x:v>Horizonte residual</x:v>
      </x:c>
      <x:c r="D15" s="450" t="str">
        <x:v>años</x:v>
      </x:c>
      <x:c r="E15" s="450" t="n">
        <x:v>12</x:v>
      </x:c>
      <x:c r="F15" s="450" t="n">
        <x:v>15</x:v>
      </x:c>
      <x:c r="G15" s="450" t="n">
        <x:v>18</x:v>
      </x:c>
      <x:c r="H15" s="450" t="str">
        <x:v>Base histórica ficticia</x:v>
      </x:c>
      <x:c r="I15" s="450" t="str">
        <x:v>D</x:v>
      </x:c>
    </x:row>
    <x:row r="16">
      <x:c r="A16" s="450" t="str">
        <x:v>VDEP-EJ02</x:v>
      </x:c>
      <x:c r="B16" s="450" t="n">
        <x:v>4</x:v>
      </x:c>
      <x:c r="C16" s="450" t="str">
        <x:v>Tasa de descuento</x:v>
      </x:c>
      <x:c r="D16" s="450" t="str">
        <x:v>% anual</x:v>
      </x:c>
      <x:c r="E16" s="450" t="n">
        <x:v>3</x:v>
      </x:c>
      <x:c r="F16" s="450" t="n">
        <x:v>3</x:v>
      </x:c>
      <x:c r="G16" s="450" t="n">
        <x:v>3</x:v>
      </x:c>
      <x:c r="H16" s="450" t="str">
        <x:v>Supuesto explícito</x:v>
      </x:c>
      <x:c r="I16" s="450" t="str">
        <x:v>D</x:v>
      </x:c>
    </x:row>
    <x:row r="17">
      <x:c r="A17" s="450" t="str">
        <x:v>VDEP-EJ02</x:v>
      </x:c>
      <x:c r="B17" s="450" t="n">
        <x:v>5</x:v>
      </x:c>
      <x:c r="C17" s="450" t="str">
        <x:v>Cierre del centro</x:v>
      </x:c>
      <x:c r="D17" s="450" t="str">
        <x:v>evento</x:v>
      </x:c>
      <x:c r="E17" s="450" t="n">
        <x:v>1</x:v>
      </x:c>
      <x:c r="F17" s="450" t="n">
        <x:v>1</x:v>
      </x:c>
      <x:c r="G17" s="450" t="n">
        <x:v>1</x:v>
      </x:c>
      <x:c r="H17" s="450" t="str">
        <x:v>Observado</x:v>
      </x:c>
      <x:c r="I17" s="450" t="str">
        <x:v>E</x:v>
      </x:c>
    </x:row>
    <x:row r="18">
      <x:c r="A18" s="450" t="str">
        <x:v>VDEP-EJ02</x:v>
      </x:c>
      <x:c r="B18" s="450" t="n">
        <x:v>6</x:v>
      </x:c>
      <x:c r="C18" s="450" t="str">
        <x:v>Resultado sanitario futuro</x:v>
      </x:c>
      <x:c r="D18" s="450" t="str">
        <x:v>categoría</x:v>
      </x:c>
      <x:c r="E18" s="450" t="str">
        <x:v>incierto</x:v>
      </x:c>
      <x:c r="F18" s="450" t="str">
        <x:v>incierto</x:v>
      </x:c>
      <x:c r="G18" s="450" t="str">
        <x:v>incierto</x:v>
      </x:c>
      <x:c r="H18" s="450" t="str">
        <x:v>Seguimiento pendiente</x:v>
      </x:c>
      <x:c r="I18" s="450" t="str">
        <x:v>D/E</x:v>
      </x:c>
    </x:row>
    <x:row r="19">
      <x:c r="A19" s="450" t="str">
        <x:v>VDEP-EJ03</x:v>
      </x:c>
      <x:c r="B19" s="450" t="n">
        <x:v>1</x:v>
      </x:c>
      <x:c r="C19" s="450" t="str">
        <x:v>Ejemplares afectados</x:v>
      </x:c>
      <x:c r="D19" s="450" t="str">
        <x:v>individuos</x:v>
      </x:c>
      <x:c r="E19" s="450" t="n">
        <x:v>1</x:v>
      </x:c>
      <x:c r="F19" s="450" t="n">
        <x:v>1</x:v>
      </x:c>
      <x:c r="G19" s="450" t="n">
        <x:v>1</x:v>
      </x:c>
      <x:c r="H19" s="450" t="str">
        <x:v>Observado</x:v>
      </x:c>
      <x:c r="I19" s="450" t="str">
        <x:v>A</x:v>
      </x:c>
    </x:row>
    <x:row r="20">
      <x:c r="A20" s="450" t="str">
        <x:v>VDEP-EJ03</x:v>
      </x:c>
      <x:c r="B20" s="450" t="n">
        <x:v>2</x:v>
      </x:c>
      <x:c r="C20" s="450" t="str">
        <x:v>Muertes</x:v>
      </x:c>
      <x:c r="D20" s="450" t="str">
        <x:v>individuos</x:v>
      </x:c>
      <x:c r="E20" s="450" t="n">
        <x:v>1</x:v>
      </x:c>
      <x:c r="F20" s="450" t="n">
        <x:v>1</x:v>
      </x:c>
      <x:c r="G20" s="450" t="n">
        <x:v>1</x:v>
      </x:c>
      <x:c r="H20" s="450" t="str">
        <x:v>Observado</x:v>
      </x:c>
      <x:c r="I20" s="450" t="str">
        <x:v>A/F</x:v>
      </x:c>
    </x:row>
    <x:row r="21">
      <x:c r="A21" s="450" t="str">
        <x:v>VDEP-EJ03</x:v>
      </x:c>
      <x:c r="B21" s="450" t="n">
        <x:v>3</x:v>
      </x:c>
      <x:c r="C21" s="450" t="str">
        <x:v>Sexo/etapa</x:v>
      </x:c>
      <x:c r="D21" s="450" t="str">
        <x:v>categoría</x:v>
      </x:c>
      <x:c r="E21" s="450" t="str">
        <x:v>hembra adulta</x:v>
      </x:c>
      <x:c r="F21" s="450" t="str">
        <x:v>hembra adulta</x:v>
      </x:c>
      <x:c r="G21" s="450" t="str">
        <x:v>hembra adulta</x:v>
      </x:c>
      <x:c r="H21" s="450" t="str">
        <x:v>Peritaje</x:v>
      </x:c>
      <x:c r="I21" s="450" t="str">
        <x:v>A</x:v>
      </x:c>
    </x:row>
    <x:row r="22">
      <x:c r="A22" s="450" t="str">
        <x:v>VDEP-EJ03</x:v>
      </x:c>
      <x:c r="B22" s="450" t="n">
        <x:v>4</x:v>
      </x:c>
      <x:c r="C22" s="450" t="str">
        <x:v>Condición reproductiva</x:v>
      </x:c>
      <x:c r="D22" s="450" t="str">
        <x:v>categoría</x:v>
      </x:c>
      <x:c r="E22" s="450" t="str">
        <x:v>reproductora</x:v>
      </x:c>
      <x:c r="F22" s="450" t="str">
        <x:v>reproductora</x:v>
      </x:c>
      <x:c r="G22" s="450" t="str">
        <x:v>reproductora</x:v>
      </x:c>
      <x:c r="H22" s="450" t="str">
        <x:v>Peritaje</x:v>
      </x:c>
      <x:c r="I22" s="450" t="str">
        <x:v>A</x:v>
      </x:c>
    </x:row>
    <x:row r="23">
      <x:c r="A23" s="450" t="str">
        <x:v>VDEP-EJ03</x:v>
      </x:c>
      <x:c r="B23" s="450" t="n">
        <x:v>5</x:v>
      </x:c>
      <x:c r="C23" s="450" t="str">
        <x:v>Irreversibilidad</x:v>
      </x:c>
      <x:c r="D23" s="450" t="str">
        <x:v>sí/no</x:v>
      </x:c>
      <x:c r="E23" s="450" t="str">
        <x:v>sí</x:v>
      </x:c>
      <x:c r="F23" s="450" t="str">
        <x:v>sí</x:v>
      </x:c>
      <x:c r="G23" s="450" t="str">
        <x:v>sí</x:v>
      </x:c>
      <x:c r="H23" s="450" t="str">
        <x:v>Hecho del caso</x:v>
      </x:c>
      <x:c r="I23" s="450" t="str">
        <x:v>F/G</x:v>
      </x:c>
    </x:row>
    <x:row r="24">
      <x:c r="A24" s="450" t="str">
        <x:v>VDEP-EJ03</x:v>
      </x:c>
      <x:c r="B24" s="450" t="n">
        <x:v>6</x:v>
      </x:c>
      <x:c r="C24" s="450" t="str">
        <x:v>Protección/amenaza</x:v>
      </x:c>
      <x:c r="D24" s="450" t="str">
        <x:v>categoría</x:v>
      </x:c>
      <x:c r="E24" s="450" t="str">
        <x:v>alta</x:v>
      </x:c>
      <x:c r="F24" s="450" t="str">
        <x:v>alta</x:v>
      </x:c>
      <x:c r="G24" s="450" t="str">
        <x:v>alta</x:v>
      </x:c>
      <x:c r="H24" s="450" t="str">
        <x:v>Atributo; no multiplicador</x:v>
      </x:c>
      <x:c r="I24" s="450" t="str">
        <x:v>G</x:v>
      </x:c>
    </x:row>
    <x:row r="25">
      <x:c r="A25" s="450" t="str">
        <x:v>VDEP-EJ04</x:v>
      </x:c>
      <x:c r="B25" s="450" t="n">
        <x:v>1</x:v>
      </x:c>
      <x:c r="C25" s="450" t="str">
        <x:v>Huevos afectados</x:v>
      </x:c>
      <x:c r="D25" s="450" t="str">
        <x:v>huevos</x:v>
      </x:c>
      <x:c r="E25" s="450" t="n">
        <x:v>400</x:v>
      </x:c>
      <x:c r="F25" s="450" t="n">
        <x:v>400</x:v>
      </x:c>
      <x:c r="G25" s="450" t="n">
        <x:v>400</x:v>
      </x:c>
      <x:c r="H25" s="450" t="str">
        <x:v>Observado</x:v>
      </x:c>
      <x:c r="I25" s="450" t="str">
        <x:v>A</x:v>
      </x:c>
    </x:row>
    <x:row r="26">
      <x:c r="A26" s="450" t="str">
        <x:v>VDEP-EJ04</x:v>
      </x:c>
      <x:c r="B26" s="450" t="n">
        <x:v>2</x:v>
      </x:c>
      <x:c r="C26" s="450" t="str">
        <x:v>Supervivencia huevo-adulto</x:v>
      </x:c>
      <x:c r="D26" s="450" t="str">
        <x:v>%</x:v>
      </x:c>
      <x:c r="E26" s="450" t="n">
        <x:v>0.15</x:v>
      </x:c>
      <x:c r="F26" s="450" t="n">
        <x:v>0.2</x:v>
      </x:c>
      <x:c r="G26" s="450" t="n">
        <x:v>0.25</x:v>
      </x:c>
      <x:c r="H26" s="450" t="str">
        <x:v>Parámetro histórico ficticio</x:v>
      </x:c>
      <x:c r="I26" s="450" t="str">
        <x:v>A</x:v>
      </x:c>
    </x:row>
    <x:row r="27">
      <x:c r="A27" s="450" t="str">
        <x:v>VDEP-EJ04</x:v>
      </x:c>
      <x:c r="B27" s="450" t="n">
        <x:v>3</x:v>
      </x:c>
      <x:c r="C27" s="450" t="str">
        <x:v>Adultos-equivalentes esperados</x:v>
      </x:c>
      <x:c r="D27" s="450" t="str">
        <x:v>individuos equivalentes</x:v>
      </x:c>
      <x:c r="E27" s="450" t="n">
        <x:v>0.6</x:v>
      </x:c>
      <x:c r="F27" s="450" t="n">
        <x:v>0.8</x:v>
      </x:c>
      <x:c r="G27" s="450" t="n">
        <x:v>1</x:v>
      </x:c>
      <x:c r="H27" s="450" t="str">
        <x:v>400 × supervivencia</x:v>
      </x:c>
      <x:c r="I27" s="450" t="str">
        <x:v>A/F</x:v>
      </x:c>
    </x:row>
    <x:row r="28">
      <x:c r="A28" s="450" t="str">
        <x:v>VDEP-EJ04</x:v>
      </x:c>
      <x:c r="B28" s="450" t="n">
        <x:v>4</x:v>
      </x:c>
      <x:c r="C28" s="450" t="str">
        <x:v>Irreversibilidad del lote</x:v>
      </x:c>
      <x:c r="D28" s="450" t="str">
        <x:v>categoría</x:v>
      </x:c>
      <x:c r="E28" s="450" t="str">
        <x:v>alta</x:v>
      </x:c>
      <x:c r="F28" s="450" t="str">
        <x:v>alta</x:v>
      </x:c>
      <x:c r="G28" s="450" t="str">
        <x:v>alta</x:v>
      </x:c>
      <x:c r="H28" s="450" t="str">
        <x:v>Hecho del caso</x:v>
      </x:c>
      <x:c r="I28" s="450" t="str">
        <x:v>G</x:v>
      </x:c>
    </x:row>
    <x:row r="29">
      <x:c r="A29" s="450" t="str">
        <x:v>VDEP-EJ04</x:v>
      </x:c>
      <x:c r="B29" s="450" t="n">
        <x:v>5</x:v>
      </x:c>
      <x:c r="C29" s="450" t="str">
        <x:v>Playa/temporada</x:v>
      </x:c>
      <x:c r="D29" s="450" t="str">
        <x:v>dato contextual</x:v>
      </x:c>
      <x:c r="E29" s="450" t="str">
        <x:v>registrar</x:v>
      </x:c>
      <x:c r="F29" s="450" t="str">
        <x:v>registrar</x:v>
      </x:c>
      <x:c r="G29" s="450" t="str">
        <x:v>registrar</x:v>
      </x:c>
      <x:c r="H29" s="450" t="str">
        <x:v>Expediente</x:v>
      </x:c>
      <x:c r="I29" s="450" t="str">
        <x:v>A</x:v>
      </x:c>
    </x:row>
    <x:row r="30">
      <x:c r="A30" s="450" t="str">
        <x:v>VDEP-EJ05</x:v>
      </x:c>
      <x:c r="B30" s="450" t="n">
        <x:v>1</x:v>
      </x:c>
      <x:c r="C30" s="450" t="str">
        <x:v>Área afectada</x:v>
      </x:c>
      <x:c r="D30" s="450" t="str">
        <x:v>m²</x:v>
      </x:c>
      <x:c r="E30" s="450" t="n">
        <x:v>150</x:v>
      </x:c>
      <x:c r="F30" s="450" t="n">
        <x:v>150</x:v>
      </x:c>
      <x:c r="G30" s="450" t="n">
        <x:v>150</x:v>
      </x:c>
      <x:c r="H30" s="450" t="str">
        <x:v>Peritaje</x:v>
      </x:c>
      <x:c r="I30" s="450" t="str">
        <x:v>A</x:v>
      </x:c>
    </x:row>
    <x:row r="31">
      <x:c r="A31" s="450" t="str">
        <x:v>VDEP-EJ05</x:v>
      </x:c>
      <x:c r="B31" s="450" t="n">
        <x:v>2</x:v>
      </x:c>
      <x:c r="C31" s="450" t="str">
        <x:v>Cobertura/estructura perdida</x:v>
      </x:c>
      <x:c r="D31" s="450" t="str">
        <x:v>m² equivalentes</x:v>
      </x:c>
      <x:c r="E31" s="450" t="n">
        <x:v>150</x:v>
      </x:c>
      <x:c r="F31" s="450" t="n">
        <x:v>150</x:v>
      </x:c>
      <x:c r="G31" s="450" t="n">
        <x:v>150</x:v>
      </x:c>
      <x:c r="H31" s="450" t="str">
        <x:v>Supuesto didáctico</x:v>
      </x:c>
      <x:c r="I31" s="450" t="str">
        <x:v>A</x:v>
      </x:c>
    </x:row>
    <x:row r="32">
      <x:c r="A32" s="450" t="str">
        <x:v>VDEP-EJ05</x:v>
      </x:c>
      <x:c r="B32" s="450" t="n">
        <x:v>3</x:v>
      </x:c>
      <x:c r="C32" s="450" t="str">
        <x:v>Horizonte de recuperación</x:v>
      </x:c>
      <x:c r="D32" s="450" t="str">
        <x:v>años</x:v>
      </x:c>
      <x:c r="E32" s="450" t="n">
        <x:v>8</x:v>
      </x:c>
      <x:c r="F32" s="450" t="n">
        <x:v>10</x:v>
      </x:c>
      <x:c r="G32" s="450" t="n">
        <x:v>12</x:v>
      </x:c>
      <x:c r="H32" s="450" t="str">
        <x:v>Escenario VDEP</x:v>
      </x:c>
      <x:c r="I32" s="450" t="str">
        <x:v>B/R</x:v>
      </x:c>
    </x:row>
    <x:row r="33">
      <x:c r="A33" s="450" t="str">
        <x:v>VDEP-EJ05</x:v>
      </x:c>
      <x:c r="B33" s="450" t="n">
        <x:v>4</x:v>
      </x:c>
      <x:c r="C33" s="450" t="str">
        <x:v>Valor unitario transferido</x:v>
      </x:c>
      <x:c r="D33" s="450" t="str">
        <x:v>CRC/m²-año</x:v>
      </x:c>
      <x:c r="E33" s="450" t="n">
        <x:v>600</x:v>
      </x:c>
      <x:c r="F33" s="450" t="n">
        <x:v>800</x:v>
      </x:c>
      <x:c r="G33" s="450" t="n">
        <x:v>1000</x:v>
      </x:c>
      <x:c r="H33" s="450" t="str">
        <x:v>Estudios comparables</x:v>
      </x:c>
      <x:c r="I33" s="450" t="str">
        <x:v>B</x:v>
      </x:c>
    </x:row>
    <x:row r="34">
      <x:c r="A34" s="450" t="str">
        <x:v>VDEP-EJ05</x:v>
      </x:c>
      <x:c r="B34" s="450" t="n">
        <x:v>5</x:v>
      </x:c>
      <x:c r="C34" s="450" t="str">
        <x:v>Cambio marginal</x:v>
      </x:c>
      <x:c r="D34" s="450" t="str">
        <x:v>categoría</x:v>
      </x:c>
      <x:c r="E34" s="450" t="str">
        <x:v>definido por área y recuperación</x:v>
      </x:c>
      <x:c r="F34" s="450" t="str">
        <x:v>idem</x:v>
      </x:c>
      <x:c r="G34" s="450" t="str">
        <x:v>idem</x:v>
      </x:c>
      <x:c r="H34" s="450" t="str">
        <x:v>Relación biofísica</x:v>
      </x:c>
      <x:c r="I34" s="450" t="str">
        <x:v>B</x:v>
      </x:c>
    </x:row>
    <x:row r="35">
      <x:c r="A35" s="450" t="str">
        <x:v>VDEP-EJ06</x:v>
      </x:c>
      <x:c r="B35" s="450" t="n">
        <x:v>1</x:v>
      </x:c>
      <x:c r="C35" s="450" t="str">
        <x:v>Plantas recuperadas</x:v>
      </x:c>
      <x:c r="D35" s="450" t="str">
        <x:v>ejemplares</x:v>
      </x:c>
      <x:c r="E35" s="450" t="n">
        <x:v>50</x:v>
      </x:c>
      <x:c r="F35" s="450" t="n">
        <x:v>50</x:v>
      </x:c>
      <x:c r="G35" s="450" t="n">
        <x:v>50</x:v>
      </x:c>
      <x:c r="H35" s="450" t="str">
        <x:v>Observado</x:v>
      </x:c>
      <x:c r="I35" s="450" t="str">
        <x:v>A</x:v>
      </x:c>
    </x:row>
    <x:row r="36">
      <x:c r="A36" s="450" t="str">
        <x:v>VDEP-EJ06</x:v>
      </x:c>
      <x:c r="B36" s="450" t="n">
        <x:v>2</x:v>
      </x:c>
      <x:c r="C36" s="450" t="str">
        <x:v>Supervivencia final</x:v>
      </x:c>
      <x:c r="D36" s="450" t="str">
        <x:v>ejemplares</x:v>
      </x:c>
      <x:c r="E36" s="450" t="str">
        <x:v>pendiente</x:v>
      </x:c>
      <x:c r="F36" s="450" t="str">
        <x:v>pendiente</x:v>
      </x:c>
      <x:c r="G36" s="450" t="str">
        <x:v>pendiente</x:v>
      </x:c>
      <x:c r="H36" s="450" t="str">
        <x:v>Resultado futuro</x:v>
      </x:c>
      <x:c r="I36" s="450" t="str">
        <x:v>A/D</x:v>
      </x:c>
    </x:row>
    <x:row r="37">
      <x:c r="A37" s="450" t="str">
        <x:v>VDEP-EJ06</x:v>
      </x:c>
      <x:c r="B37" s="450" t="n">
        <x:v>3</x:v>
      </x:c>
      <x:c r="C37" s="450" t="str">
        <x:v>Endemismo</x:v>
      </x:c>
      <x:c r="D37" s="450" t="str">
        <x:v>categoría</x:v>
      </x:c>
      <x:c r="E37" s="450" t="str">
        <x:v>registrar</x:v>
      </x:c>
      <x:c r="F37" s="450" t="str">
        <x:v>registrar</x:v>
      </x:c>
      <x:c r="G37" s="450" t="str">
        <x:v>registrar</x:v>
      </x:c>
      <x:c r="H37" s="450" t="str">
        <x:v>Peritaje; no monetizar automáticamente</x:v>
      </x:c>
      <x:c r="I37" s="450" t="str">
        <x:v>A/G</x:v>
      </x:c>
    </x:row>
    <x:row r="38">
      <x:c r="A38" s="450" t="str">
        <x:v>VDEP-EJ06</x:v>
      </x:c>
      <x:c r="B38" s="450" t="n">
        <x:v>4</x:v>
      </x:c>
      <x:c r="C38" s="450" t="str">
        <x:v>Singularidad genética</x:v>
      </x:c>
      <x:c r="D38" s="450" t="str">
        <x:v>categoría</x:v>
      </x:c>
      <x:c r="E38" s="450" t="str">
        <x:v>registrar</x:v>
      </x:c>
      <x:c r="F38" s="450" t="str">
        <x:v>registrar</x:v>
      </x:c>
      <x:c r="G38" s="450" t="str">
        <x:v>registrar</x:v>
      </x:c>
      <x:c r="H38" s="450" t="str">
        <x:v>Peritaje</x:v>
      </x:c>
      <x:c r="I38" s="450" t="str">
        <x:v>A/G</x:v>
      </x:c>
    </x:row>
    <x:row r="39">
      <x:c r="A39" s="450" t="str">
        <x:v>VDEP-EJ06</x:v>
      </x:c>
      <x:c r="B39" s="450" t="n">
        <x:v>5</x:v>
      </x:c>
      <x:c r="C39" s="450" t="str">
        <x:v>Servicio ecosistémico monetizable</x:v>
      </x:c>
      <x:c r="D39" s="450" t="str">
        <x:v>sí/no</x:v>
      </x:c>
      <x:c r="E39" s="450" t="str">
        <x:v>no</x:v>
      </x:c>
      <x:c r="F39" s="450" t="str">
        <x:v>no</x:v>
      </x:c>
      <x:c r="G39" s="450" t="str">
        <x:v>no</x:v>
      </x:c>
      <x:c r="H39" s="450" t="str">
        <x:v>Sin nexo defendible</x:v>
      </x:c>
      <x:c r="I39" s="450" t="str">
        <x:v>B excluida</x:v>
      </x:c>
    </x:row>
    <x:row r="40">
      <x:c r="A40" s="450" t="str">
        <x:v>VDEP-EJ07</x:v>
      </x:c>
      <x:c r="B40" s="450" t="n">
        <x:v>1</x:v>
      </x:c>
      <x:c r="C40" s="450" t="str">
        <x:v>Polluelos capturados</x:v>
      </x:c>
      <x:c r="D40" s="450" t="str">
        <x:v>individuos</x:v>
      </x:c>
      <x:c r="E40" s="450" t="n">
        <x:v>2</x:v>
      </x:c>
      <x:c r="F40" s="450" t="n">
        <x:v>2</x:v>
      </x:c>
      <x:c r="G40" s="450" t="n">
        <x:v>2</x:v>
      </x:c>
      <x:c r="H40" s="450" t="str">
        <x:v>Observado</x:v>
      </x:c>
      <x:c r="I40" s="450" t="str">
        <x:v>A</x:v>
      </x:c>
    </x:row>
    <x:row r="41">
      <x:c r="A41" s="450" t="str">
        <x:v>VDEP-EJ07</x:v>
      </x:c>
      <x:c r="B41" s="450" t="n">
        <x:v>2</x:v>
      </x:c>
      <x:c r="C41" s="450" t="str">
        <x:v>Polluelos vivos al corte</x:v>
      </x:c>
      <x:c r="D41" s="450" t="str">
        <x:v>individuos</x:v>
      </x:c>
      <x:c r="E41" s="450" t="n">
        <x:v>1</x:v>
      </x:c>
      <x:c r="F41" s="450" t="n">
        <x:v>1</x:v>
      </x:c>
      <x:c r="G41" s="450" t="n">
        <x:v>1</x:v>
      </x:c>
      <x:c r="H41" s="450" t="str">
        <x:v>Observado</x:v>
      </x:c>
      <x:c r="I41" s="450" t="str">
        <x:v>A/D</x:v>
      </x:c>
    </x:row>
    <x:row r="42">
      <x:c r="A42" s="450" t="str">
        <x:v>VDEP-EJ07</x:v>
      </x:c>
      <x:c r="B42" s="450" t="n">
        <x:v>3</x:v>
      </x:c>
      <x:c r="C42" s="450" t="str">
        <x:v>Árbol-nido perdido</x:v>
      </x:c>
      <x:c r="D42" s="450" t="str">
        <x:v>estructuras</x:v>
      </x:c>
      <x:c r="E42" s="450" t="n">
        <x:v>1</x:v>
      </x:c>
      <x:c r="F42" s="450" t="n">
        <x:v>1</x:v>
      </x:c>
      <x:c r="G42" s="450" t="n">
        <x:v>1</x:v>
      </x:c>
      <x:c r="H42" s="450" t="str">
        <x:v>Observado</x:v>
      </x:c>
      <x:c r="I42" s="450" t="str">
        <x:v>A/R</x:v>
      </x:c>
    </x:row>
    <x:row r="43">
      <x:c r="A43" s="450" t="str">
        <x:v>VDEP-EJ07</x:v>
      </x:c>
      <x:c r="B43" s="450" t="n">
        <x:v>4</x:v>
      </x:c>
      <x:c r="C43" s="450" t="str">
        <x:v>Adulto-equivalente esperado</x:v>
      </x:c>
      <x:c r="D43" s="450" t="str">
        <x:v>individuos equivalentes</x:v>
      </x:c>
      <x:c r="E43" s="450" t="n">
        <x:v>0.35</x:v>
      </x:c>
      <x:c r="F43" s="450" t="n">
        <x:v>0.5</x:v>
      </x:c>
      <x:c r="G43" s="450" t="n">
        <x:v>0.65</x:v>
      </x:c>
      <x:c r="H43" s="450" t="str">
        <x:v>Parámetros de supervivencia</x:v>
      </x:c>
      <x:c r="I43" s="450" t="str">
        <x:v>A/F</x:v>
      </x:c>
    </x:row>
    <x:row r="44">
      <x:c r="A44" s="450" t="str">
        <x:v>VDEP-EJ07</x:v>
      </x:c>
      <x:c r="B44" s="450" t="n">
        <x:v>5</x:v>
      </x:c>
      <x:c r="C44" s="450" t="str">
        <x:v>Pérdida de hábitat</x:v>
      </x:c>
      <x:c r="D44" s="450" t="str">
        <x:v>categoría</x:v>
      </x:c>
      <x:c r="E44" s="450" t="str">
        <x:v>presente</x:v>
      </x:c>
      <x:c r="F44" s="450" t="str">
        <x:v>presente</x:v>
      </x:c>
      <x:c r="G44" s="450" t="str">
        <x:v>presente</x:v>
      </x:c>
      <x:c r="H44" s="450" t="str">
        <x:v>Peritaje</x:v>
      </x:c>
      <x:c r="I44" s="450" t="str">
        <x:v>A/B/R</x:v>
      </x:c>
    </x:row>
    <x:row r="45">
      <x:c r="A45" s="450" t="str">
        <x:v>VDEP-EJ08</x:v>
      </x:c>
      <x:c r="B45" s="450" t="n">
        <x:v>1</x:v>
      </x:c>
      <x:c r="C45" s="450" t="str">
        <x:v>Número total inferido</x:v>
      </x:c>
      <x:c r="D45" s="450" t="str">
        <x:v>individuos</x:v>
      </x:c>
      <x:c r="E45" s="450" t="n">
        <x:v>120</x:v>
      </x:c>
      <x:c r="F45" s="450" t="n">
        <x:v>150</x:v>
      </x:c>
      <x:c r="G45" s="450" t="n">
        <x:v>180</x:v>
      </x:c>
      <x:c r="H45" s="450" t="str">
        <x:v>Rango forense</x:v>
      </x:c>
      <x:c r="I45" s="450" t="str">
        <x:v>A</x:v>
      </x:c>
    </x:row>
    <x:row r="46">
      <x:c r="A46" s="450" t="str">
        <x:v>VDEP-EJ08</x:v>
      </x:c>
      <x:c r="B46" s="450" t="n">
        <x:v>2</x:v>
      </x:c>
      <x:c r="C46" s="450" t="str">
        <x:v>Sobrevivientes físicamente recuperados</x:v>
      </x:c>
      <x:c r="D46" s="450" t="str">
        <x:v>individuos</x:v>
      </x:c>
      <x:c r="E46" s="450" t="n">
        <x:v>15</x:v>
      </x:c>
      <x:c r="F46" s="450" t="n">
        <x:v>15</x:v>
      </x:c>
      <x:c r="G46" s="450" t="n">
        <x:v>15</x:v>
      </x:c>
      <x:c r="H46" s="450" t="str">
        <x:v>Conteo al ingreso</x:v>
      </x:c>
      <x:c r="I46" s="450" t="str">
        <x:v>D</x:v>
      </x:c>
    </x:row>
    <x:row r="47">
      <x:c r="A47" s="450" t="str">
        <x:v>VDEP-EJ08</x:v>
      </x:c>
      <x:c r="B47" s="450" t="n">
        <x:v>3</x:v>
      </x:c>
      <x:c r="C47" s="450" t="str">
        <x:v>Mortalidad exacta</x:v>
      </x:c>
      <x:c r="D47" s="450" t="str">
        <x:v>individuos</x:v>
      </x:c>
      <x:c r="E47" s="450" t="str">
        <x:v>no determinada</x:v>
      </x:c>
      <x:c r="F47" s="450" t="str">
        <x:v>no determinada</x:v>
      </x:c>
      <x:c r="G47" s="450" t="str">
        <x:v>no determinada</x:v>
      </x:c>
      <x:c r="H47" s="450" t="str">
        <x:v>Limitación forense</x:v>
      </x:c>
      <x:c r="I47" s="450" t="str">
        <x:v>A/F</x:v>
      </x:c>
    </x:row>
    <x:row r="48">
      <x:c r="A48" s="450" t="str">
        <x:v>VDEP-EJ08</x:v>
      </x:c>
      <x:c r="B48" s="450" t="n">
        <x:v>4</x:v>
      </x:c>
      <x:c r="C48" s="450" t="str">
        <x:v>Precio sombra por unidad</x:v>
      </x:c>
      <x:c r="D48" s="450" t="str">
        <x:v>CRC/unidad</x:v>
      </x:c>
      <x:c r="E48" s="450" t="n">
        <x:v>25000</x:v>
      </x:c>
      <x:c r="F48" s="450" t="n">
        <x:v>25000</x:v>
      </x:c>
      <x:c r="G48" s="450" t="n">
        <x:v>25000</x:v>
      </x:c>
      <x:c r="H48" s="450" t="str">
        <x:v>Parámetro didáctico</x:v>
      </x:c>
      <x:c r="I48" s="450" t="str">
        <x:v>F/R</x:v>
      </x:c>
    </x:row>
    <x:row r="49">
      <x:c r="A49" s="450" t="str">
        <x:v>VDEP-EJ08</x:v>
      </x:c>
      <x:c r="B49" s="450" t="n">
        <x:v>5</x:v>
      </x:c>
      <x:c r="C49" s="450" t="str">
        <x:v>Subdetección</x:v>
      </x:c>
      <x:c r="D49" s="450" t="str">
        <x:v>tratamiento</x:v>
      </x:c>
      <x:c r="E49" s="450" t="str">
        <x:v>rango explícito</x:v>
      </x:c>
      <x:c r="F49" s="450" t="str">
        <x:v>rango explícito</x:v>
      </x:c>
      <x:c r="G49" s="450" t="str">
        <x:v>rango explícito</x:v>
      </x:c>
      <x:c r="H49" s="450" t="str">
        <x:v>No multiplicador universal</x:v>
      </x:c>
      <x:c r="I49" s="450" t="str">
        <x:v>U</x:v>
      </x:c>
    </x:row>
    <x:row r="50">
      <x:c r="A50" s="450" t="str">
        <x:v>VDEP-EJ09</x:v>
      </x:c>
      <x:c r="B50" s="450" t="n">
        <x:v>1</x:v>
      </x:c>
      <x:c r="C50" s="450" t="str">
        <x:v>Aves asociadas</x:v>
      </x:c>
      <x:c r="D50" s="450" t="str">
        <x:v>individuos</x:v>
      </x:c>
      <x:c r="E50" s="450" t="n">
        <x:v>8</x:v>
      </x:c>
      <x:c r="F50" s="450" t="n">
        <x:v>8</x:v>
      </x:c>
      <x:c r="G50" s="450" t="n">
        <x:v>8</x:v>
      </x:c>
      <x:c r="H50" s="450" t="str">
        <x:v>Expediente</x:v>
      </x:c>
      <x:c r="I50" s="450" t="str">
        <x:v>A</x:v>
      </x:c>
    </x:row>
    <x:row r="51">
      <x:c r="A51" s="450" t="str">
        <x:v>VDEP-EJ09</x:v>
      </x:c>
      <x:c r="B51" s="450" t="n">
        <x:v>2</x:v>
      </x:c>
      <x:c r="C51" s="450" t="str">
        <x:v>Aves recuperadas</x:v>
      </x:c>
      <x:c r="D51" s="450" t="str">
        <x:v>individuos</x:v>
      </x:c>
      <x:c r="E51" s="450" t="n">
        <x:v>5</x:v>
      </x:c>
      <x:c r="F51" s="450" t="n">
        <x:v>5</x:v>
      </x:c>
      <x:c r="G51" s="450" t="n">
        <x:v>5</x:v>
      </x:c>
      <x:c r="H51" s="450" t="str">
        <x:v>Observado</x:v>
      </x:c>
      <x:c r="I51" s="450" t="str">
        <x:v>D</x:v>
      </x:c>
    </x:row>
    <x:row r="52">
      <x:c r="A52" s="450" t="str">
        <x:v>VDEP-EJ09</x:v>
      </x:c>
      <x:c r="B52" s="450" t="n">
        <x:v>3</x:v>
      </x:c>
      <x:c r="C52" s="450" t="str">
        <x:v>Manglar afectado</x:v>
      </x:c>
      <x:c r="D52" s="450" t="str">
        <x:v>hectáreas</x:v>
      </x:c>
      <x:c r="E52" s="450" t="n">
        <x:v>0.6</x:v>
      </x:c>
      <x:c r="F52" s="450" t="n">
        <x:v>0.6</x:v>
      </x:c>
      <x:c r="G52" s="450" t="n">
        <x:v>0.6</x:v>
      </x:c>
      <x:c r="H52" s="450" t="str">
        <x:v>Peritaje</x:v>
      </x:c>
      <x:c r="I52" s="450" t="str">
        <x:v>A/R</x:v>
      </x:c>
    </x:row>
    <x:row r="53">
      <x:c r="A53" s="450" t="str">
        <x:v>VDEP-EJ09</x:v>
      </x:c>
      <x:c r="B53" s="450" t="n">
        <x:v>4</x:v>
      </x:c>
      <x:c r="C53" s="450" t="str">
        <x:v>Causalidad territorial</x:v>
      </x:c>
      <x:c r="D53" s="450" t="str">
        <x:v>categoría</x:v>
      </x:c>
      <x:c r="E53" s="450" t="str">
        <x:v>debe acreditarse</x:v>
      </x:c>
      <x:c r="F53" s="450" t="str">
        <x:v>acreditada en el ejemplo</x:v>
      </x:c>
      <x:c r="G53" s="450" t="str">
        <x:v>debe acreditarse</x:v>
      </x:c>
      <x:c r="H53" s="450" t="str">
        <x:v>Condición de activación</x:v>
      </x:c>
      <x:c r="I53" s="450" t="str">
        <x:v>A/B/R</x:v>
      </x:c>
    </x:row>
    <x:row r="54">
      <x:c r="A54" s="450" t="str">
        <x:v>VDEP-EJ09</x:v>
      </x:c>
      <x:c r="B54" s="450" t="n">
        <x:v>5</x:v>
      </x:c>
      <x:c r="C54" s="450" t="str">
        <x:v>Periodo de pérdida de servicios</x:v>
      </x:c>
      <x:c r="D54" s="450" t="str">
        <x:v>años</x:v>
      </x:c>
      <x:c r="E54" s="450" t="str">
        <x:v>escenario bajo</x:v>
      </x:c>
      <x:c r="F54" s="450" t="str">
        <x:v>escenario central</x:v>
      </x:c>
      <x:c r="G54" s="450" t="str">
        <x:v>escenario alto</x:v>
      </x:c>
      <x:c r="H54" s="450" t="str">
        <x:v>Modelo de recuperación</x:v>
      </x:c>
      <x:c r="I54" s="450" t="str">
        <x:v>B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68" hidden="0" customWidth="1"/>
    <x:col min="5" max="5" width="14" hidden="0" customWidth="1"/>
    <x:col min="6" max="6" width="14" hidden="0" customWidth="1"/>
    <x:col min="7" max="7" width="14" hidden="0" customWidth="1"/>
    <x:col min="8" max="8" width="46" hidden="0" customWidth="1"/>
    <x:col min="9" max="9" width="58" hidden="0" customWidth="1"/>
    <x:col min="10" max="10" width="22" hidden="0" customWidth="1"/>
  </x:cols>
  <x:sheetData>
    <x:row r="1" ht="28" customHeight="1">
      <x:c r="A1" s="510" t="str">
        <x:v>Catálogo de multas · Ley N.° 7317</x:v>
      </x:c>
      <x:c r="B1" s="510"/>
      <x:c r="C1" s="510"/>
      <x:c r="D1" s="510"/>
      <x:c r="E1" s="510"/>
      <x:c r="F1" s="510"/>
      <x:c r="G1" s="510"/>
      <x:c r="H1" s="510"/>
      <x:c r="I1" s="510"/>
      <x:c r="J1" s="510"/>
    </x:row>
    <x:row r="2" ht="42" customHeight="1">
      <x:c r="A2" s="514" t="str">
        <x:v>La aplicación usa este catálogo para ofrecer casillas de selección. La multa no es un multiplicador del daño ambiental: se calcula y presenta por separado antes de incorporarla al total final.</x:v>
      </x:c>
      <x:c r="B2" s="514"/>
      <x:c r="C2" s="514"/>
      <x:c r="D2" s="514"/>
      <x:c r="E2" s="514"/>
      <x:c r="F2" s="514"/>
      <x:c r="G2" s="514"/>
      <x:c r="H2" s="514"/>
      <x:c r="I2" s="514"/>
      <x:c r="J2" s="514"/>
    </x:row>
    <x:row r="5" ht="42" customHeight="1">
      <x:c r="A5" s="520" t="str">
        <x:v>ID_MULTA</x:v>
      </x:c>
      <x:c r="B5" s="520" t="str">
        <x:v>ARTÍCULO</x:v>
      </x:c>
      <x:c r="C5" s="520" t="str">
        <x:v>TIPO</x:v>
      </x:c>
      <x:c r="D5" s="520" t="str">
        <x:v>CONDUCTA</x:v>
      </x:c>
      <x:c r="E5" s="520" t="str">
        <x:v>MÍN_SB</x:v>
      </x:c>
      <x:c r="F5" s="520" t="str">
        <x:v>CENTRAL_SB_SUGERIDO</x:v>
      </x:c>
      <x:c r="G5" s="520" t="str">
        <x:v>MÁX_SB</x:v>
      </x:c>
      <x:c r="H5" s="520" t="str">
        <x:v>OTRAS_CONSECUENCIAS</x:v>
      </x:c>
      <x:c r="I5" s="520" t="str">
        <x:v>FUENTE_OFICIAL</x:v>
      </x:c>
      <x:c r="J5" s="520" t="str">
        <x:v>NOTA_VIGENCIA</x:v>
      </x:c>
    </x:row>
    <x:row r="6" ht="54" customHeight="1">
      <x:c r="A6" s="522" t="str">
        <x:v>L7317-090</x:v>
      </x:c>
      <x:c r="B6" s="522" t="str">
        <x:v>90</x:v>
      </x:c>
      <x:c r="C6" s="522" t="str">
        <x:v>Delito</x:v>
      </x:c>
      <x:c r="D6" s="522" t="str">
        <x:v>Extraer o destruir, sin autorización, plantas o sus productos en áreas oficiales de protección o áreas privadas autorizadas.</x:v>
      </x:c>
      <x:c r="E6" s="523" t="n">
        <x:v>1</x:v>
      </x:c>
      <x:c r="F6" s="523" t="n">
        <x:v>2</x:v>
      </x:c>
      <x:c r="G6" s="523" t="n">
        <x:v>3</x:v>
      </x:c>
      <x:c r="H6" s="522" t="str">
        <x:v>Multa o prisión de 2 a 4 meses; comiso de las piezas.</x:v>
      </x:c>
      <x:c r="I6" s="522" t="str">
        <x:v>https://pgrweb.go.cr/scij/Busqueda/Normativa/normas/nrm_texto_completo.aspx?nValor1=1&amp;nValor2=12648&amp;nValor3=122136&amp;nValor4=NO&amp;param2=2&amp;strTipM=TC</x:v>
      </x:c>
      <x:c r="J6" s="522" t="str">
        <x:v>Verificar texto vigente y calificación jurídica antes de seleccionar.</x:v>
      </x:c>
    </x:row>
    <x:row r="7" ht="54" customHeight="1">
      <x:c r="A7" s="522" t="str">
        <x:v>L7317-091A</x:v>
      </x:c>
      <x:c r="B7" s="522" t="str">
        <x:v>91(a)</x:v>
      </x:c>
      <x:c r="C7" s="522" t="str">
        <x:v>Delito</x:v>
      </x:c>
      <x:c r="D7" s="522" t="str">
        <x:v>Importar o exportar flora silvestre en peligro, con poblaciones reducidas o incluida en CITES, sin autorización.</x:v>
      </x:c>
      <x:c r="E7" s="523" t="n">
        <x:v>1</x:v>
      </x:c>
      <x:c r="F7" s="523" t="n">
        <x:v>5.5</x:v>
      </x:c>
      <x:c r="G7" s="523" t="n">
        <x:v>10</x:v>
      </x:c>
      <x:c r="H7" s="522" t="str">
        <x:v>Multa o prisión de 2 a 4 meses; comiso de las piezas.</x:v>
      </x:c>
      <x:c r="I7" s="522" t="str">
        <x:v>https://pgrweb.go.cr/scij/Busqueda/Normativa/normas/nrm_texto_completo.aspx?nValor1=1&amp;nValor2=12648&amp;nValor3=122136&amp;nValor4=NO&amp;param2=2&amp;strTipM=TC</x:v>
      </x:c>
      <x:c r="J7" s="522" t="str">
        <x:v>Verificar texto vigente y calificación jurídica antes de seleccionar.</x:v>
      </x:c>
    </x:row>
    <x:row r="8" ht="54" customHeight="1">
      <x:c r="A8" s="522" t="str">
        <x:v>L7317-091B</x:v>
      </x:c>
      <x:c r="B8" s="522" t="str">
        <x:v>91(b)</x:v>
      </x:c>
      <x:c r="C8" s="522" t="str">
        <x:v>Delito</x:v>
      </x:c>
      <x:c r="D8" s="522" t="str">
        <x:v>Importar o exportar productos o subproductos de árboles maderables en peligro, con poblaciones reducidas e incluidos en CITES, sin autorización.</x:v>
      </x:c>
      <x:c r="E8" s="523" t="n">
        <x:v>5</x:v>
      </x:c>
      <x:c r="F8" s="523" t="n">
        <x:v>10</x:v>
      </x:c>
      <x:c r="G8" s="523" t="n">
        <x:v>15</x:v>
      </x:c>
      <x:c r="H8" s="522" t="str">
        <x:v>Multa o prisión de 3 a 6 meses.</x:v>
      </x:c>
      <x:c r="I8" s="522" t="str">
        <x:v>https://pgrweb.go.cr/scij/Busqueda/Normativa/normas/nrm_texto_completo.aspx?nValor1=1&amp;nValor2=12648&amp;nValor3=122136&amp;nValor4=NO&amp;param2=2&amp;strTipM=TC</x:v>
      </x:c>
      <x:c r="J8" s="522" t="str">
        <x:v>Verificar texto vigente y calificación jurídica antes de seleccionar.</x:v>
      </x:c>
    </x:row>
    <x:row r="9" ht="54" customHeight="1">
      <x:c r="A9" s="522" t="str">
        <x:v>L7317-091C</x:v>
      </x:c>
      <x:c r="B9" s="522" t="str">
        <x:v>91(c)</x:v>
      </x:c>
      <x:c r="C9" s="522" t="str">
        <x:v>Delito</x:v>
      </x:c>
      <x:c r="D9" s="522" t="str">
        <x:v>Importar o exportar plantas que no están en peligro de extinción, sin autorización.</x:v>
      </x:c>
      <x:c r="E9" s="523" t="n">
        <x:v>0.5</x:v>
      </x:c>
      <x:c r="F9" s="523" t="n">
        <x:v>1</x:v>
      </x:c>
      <x:c r="G9" s="523" t="n">
        <x:v>1.5</x:v>
      </x:c>
      <x:c r="H9" s="522" t="str">
        <x:v>Multa equivalente al 50 % del rango de 1 a 3 salarios base, o prisión de 1 a 3 meses; comiso.</x:v>
      </x:c>
      <x:c r="I9" s="522" t="str">
        <x:v>https://pgrweb.go.cr/scij/Busqueda/Normativa/normas/nrm_texto_completo.aspx?nValor1=1&amp;nValor2=12648&amp;nValor3=122136&amp;nValor4=NO&amp;param2=2&amp;strTipM=TC</x:v>
      </x:c>
      <x:c r="J9" s="522" t="str">
        <x:v>Verificar texto vigente y calificación jurídica antes de seleccionar.</x:v>
      </x:c>
    </x:row>
    <x:row r="10" ht="54" customHeight="1">
      <x:c r="A10" s="522" t="str">
        <x:v>L7317-092</x:v>
      </x:c>
      <x:c r="B10" s="522" t="str">
        <x:v>92</x:v>
      </x:c>
      <x:c r="C10" s="522" t="str">
        <x:v>Delito</x:v>
      </x:c>
      <x:c r="D10" s="522" t="str">
        <x:v>Comerciar, negociar, traficar o trasegar flora protegida, sus productos o subproductos, sin permiso.</x:v>
      </x:c>
      <x:c r="E10" s="523" t="n">
        <x:v>5</x:v>
      </x:c>
      <x:c r="F10" s="523" t="n">
        <x:v>7.5</x:v>
      </x:c>
      <x:c r="G10" s="523" t="n">
        <x:v>10</x:v>
      </x:c>
      <x:c r="H10" s="522" t="str">
        <x:v>Multa o prisión de 3 a 6 meses; comiso.</x:v>
      </x:c>
      <x:c r="I10" s="522" t="str">
        <x:v>https://pgrweb.go.cr/scij/Busqueda/Normativa/normas/nrm_texto_completo.aspx?nValor1=1&amp;nValor2=12648&amp;nValor3=122136&amp;nValor4=NO&amp;param2=2&amp;strTipM=TC</x:v>
      </x:c>
      <x:c r="J10" s="522" t="str">
        <x:v>Verificar texto vigente y calificación jurídica antes de seleccionar.</x:v>
      </x:c>
    </x:row>
    <x:row r="11" ht="54" customHeight="1">
      <x:c r="A11" s="522" t="str">
        <x:v>L7317-093B</x:v>
      </x:c>
      <x:c r="B11" s="522" t="str">
        <x:v>93(b)</x:v>
      </x:c>
      <x:c r="C11" s="522" t="str">
        <x:v>Delito</x:v>
      </x:c>
      <x:c r="D11" s="522" t="str">
        <x:v>Cazar o capturar fauna no amenazada en áreas oficiales o privadas autorizadas, o individuos incluidos en investigación autorizada.</x:v>
      </x:c>
      <x:c r="E11" s="523" t="n">
        <x:v>10</x:v>
      </x:c>
      <x:c r="F11" s="523" t="n">
        <x:v>20</x:v>
      </x:c>
      <x:c r="G11" s="523" t="n">
        <x:v>30</x:v>
      </x:c>
      <x:c r="H11" s="522" t="str">
        <x:v>Multa o prisión de 6 meses a 1 año; comiso de equipo y piezas.</x:v>
      </x:c>
      <x:c r="I11" s="522" t="str">
        <x:v>https://pgrweb.go.cr/scij/Busqueda/Normativa/normas/nrm_texto_completo.aspx?nValor1=1&amp;nValor2=12648&amp;nValor3=122136&amp;nValor4=NO&amp;param2=2&amp;strTipM=TC</x:v>
      </x:c>
      <x:c r="J11" s="522" t="str">
        <x:v>Verificar texto vigente y calificación jurídica antes de seleccionar.</x:v>
      </x:c>
    </x:row>
    <x:row r="12" ht="54" customHeight="1">
      <x:c r="A12" s="522" t="str">
        <x:v>L7317-093C</x:v>
      </x:c>
      <x:c r="B12" s="522" t="str">
        <x:v>93(c)</x:v>
      </x:c>
      <x:c r="C12" s="522" t="str">
        <x:v>Delito</x:v>
      </x:c>
      <x:c r="D12" s="522" t="str">
        <x:v>Cazar fauna sujeta a veda que no esté comprendida en los incisos anteriores.</x:v>
      </x:c>
      <x:c r="E12" s="523" t="n">
        <x:v>1</x:v>
      </x:c>
      <x:c r="F12" s="523" t="n">
        <x:v>3</x:v>
      </x:c>
      <x:c r="G12" s="523" t="n">
        <x:v>5</x:v>
      </x:c>
      <x:c r="H12" s="522" t="str">
        <x:v>Multa o prisión de 2 a 4 meses; comiso de armas y piezas.</x:v>
      </x:c>
      <x:c r="I12" s="522" t="str">
        <x:v>https://pgrweb.go.cr/scij/Busqueda/Normativa/normas/nrm_texto_completo.aspx?nValor1=1&amp;nValor2=12648&amp;nValor3=122136&amp;nValor4=NO&amp;param2=2&amp;strTipM=TC</x:v>
      </x:c>
      <x:c r="J12" s="522" t="str">
        <x:v>Verificar texto vigente y calificación jurídica antes de seleccionar.</x:v>
      </x:c>
    </x:row>
    <x:row r="13" ht="54" customHeight="1">
      <x:c r="A13" s="522" t="str">
        <x:v>L7317-094</x:v>
      </x:c>
      <x:c r="B13" s="522" t="str">
        <x:v>94</x:v>
      </x:c>
      <x:c r="C13" s="522" t="str">
        <x:v>Delito</x:v>
      </x:c>
      <x:c r="D13" s="522" t="str">
        <x:v>Usar sin autorización venenos, materiales peligrosos, explosivos, plaguicidas u otro método capaz de eliminar fauna y poner en peligro su subsistencia regional.</x:v>
      </x:c>
      <x:c r="E13" s="523" t="n">
        <x:v>10</x:v>
      </x:c>
      <x:c r="F13" s="523" t="n">
        <x:v>20</x:v>
      </x:c>
      <x:c r="G13" s="523" t="n">
        <x:v>30</x:v>
      </x:c>
      <x:c r="H13" s="522" t="str">
        <x:v>Multa o prisión de 1 a 2 años; pérdida del equipo o material; salvo delito más grave.</x:v>
      </x:c>
      <x:c r="I13" s="522" t="str">
        <x:v>https://pgrweb.go.cr/scij/Busqueda/Normativa/normas/nrm_texto_completo.aspx?nValor1=1&amp;nValor2=12648&amp;nValor3=122136&amp;nValor4=NO&amp;param2=2&amp;strTipM=TC</x:v>
      </x:c>
      <x:c r="J13" s="522" t="str">
        <x:v>Verificar texto vigente y calificación jurídica antes de seleccionar.</x:v>
      </x:c>
    </x:row>
    <x:row r="14" ht="54" customHeight="1">
      <x:c r="A14" s="522" t="str">
        <x:v>L7317-095A</x:v>
      </x:c>
      <x:c r="B14" s="522" t="str">
        <x:v>95(a)</x:v>
      </x:c>
      <x:c r="C14" s="522" t="str">
        <x:v>Delito</x:v>
      </x:c>
      <x:c r="D14" s="522" t="str">
        <x:v>Comerciar, negociar, traficar o trasegar fauna en peligro o con poblaciones reducidas, sus productos o derivados, sin permiso.</x:v>
      </x:c>
      <x:c r="E14" s="523" t="n">
        <x:v>10</x:v>
      </x:c>
      <x:c r="F14" s="523" t="n">
        <x:v>25</x:v>
      </x:c>
      <x:c r="G14" s="523" t="n">
        <x:v>40</x:v>
      </x:c>
      <x:c r="H14" s="522" t="str">
        <x:v>Multa o prisión de 1 a 3 años; comiso.</x:v>
      </x:c>
      <x:c r="I14" s="522" t="str">
        <x:v>https://pgrweb.go.cr/scij/Busqueda/Normativa/normas/nrm_texto_completo.aspx?nValor1=1&amp;nValor2=12648&amp;nValor3=122136&amp;nValor4=NO&amp;param2=2&amp;strTipM=TC</x:v>
      </x:c>
      <x:c r="J14" s="522" t="str">
        <x:v>Verificar texto vigente y calificación jurídica antes de seleccionar.</x:v>
      </x:c>
    </x:row>
    <x:row r="15" ht="54" customHeight="1">
      <x:c r="A15" s="522" t="str">
        <x:v>L7317-095B</x:v>
      </x:c>
      <x:c r="B15" s="522" t="str">
        <x:v>95(b)</x:v>
      </x:c>
      <x:c r="C15" s="522" t="str">
        <x:v>Delito</x:v>
      </x:c>
      <x:c r="D15" s="522" t="str">
        <x:v>Comerciar, negociar, traficar o trasegar fauna no amenazada, sus productos o derivados, sin permiso.</x:v>
      </x:c>
      <x:c r="E15" s="523" t="n">
        <x:v>1</x:v>
      </x:c>
      <x:c r="F15" s="523" t="n">
        <x:v>3</x:v>
      </x:c>
      <x:c r="G15" s="523" t="n">
        <x:v>5</x:v>
      </x:c>
      <x:c r="H15" s="522" t="str">
        <x:v>Multa o prisión de 4 a 6 meses; comiso.</x:v>
      </x:c>
      <x:c r="I15" s="522" t="str">
        <x:v>https://pgrweb.go.cr/scij/Busqueda/Normativa/normas/nrm_texto_completo.aspx?nValor1=1&amp;nValor2=12648&amp;nValor3=122136&amp;nValor4=NO&amp;param2=2&amp;strTipM=TC</x:v>
      </x:c>
      <x:c r="J15" s="522" t="str">
        <x:v>Verificar texto vigente y calificación jurídica antes de seleccionar.</x:v>
      </x:c>
    </x:row>
    <x:row r="16" ht="54" customHeight="1">
      <x:c r="A16" s="522" t="str">
        <x:v>L7317-096A</x:v>
      </x:c>
      <x:c r="B16" s="522" t="str">
        <x:v>96(a)</x:v>
      </x:c>
      <x:c r="C16" s="522" t="str">
        <x:v>Delito</x:v>
      </x:c>
      <x:c r="D16" s="522" t="str">
        <x:v>Importar o exportar fauna en peligro, con poblaciones reducidas o incluida en CITES, sus productos o derivados, sin permiso.</x:v>
      </x:c>
      <x:c r="E16" s="523" t="n">
        <x:v>10</x:v>
      </x:c>
      <x:c r="F16" s="523" t="n">
        <x:v>25</x:v>
      </x:c>
      <x:c r="G16" s="523" t="n">
        <x:v>40</x:v>
      </x:c>
      <x:c r="H16" s="522" t="str">
        <x:v>Multa o prisión de 1 a 3 años; comiso.</x:v>
      </x:c>
      <x:c r="I16" s="522" t="str">
        <x:v>https://pgrweb.go.cr/scij/Busqueda/Normativa/normas/nrm_texto_completo.aspx?nValor1=1&amp;nValor2=12648&amp;nValor3=122136&amp;nValor4=NO&amp;param2=2&amp;strTipM=TC</x:v>
      </x:c>
      <x:c r="J16" s="522" t="str">
        <x:v>Verificar texto vigente y calificación jurídica antes de seleccionar.</x:v>
      </x:c>
    </x:row>
    <x:row r="17" ht="54" customHeight="1">
      <x:c r="A17" s="522" t="str">
        <x:v>L7317-096B</x:v>
      </x:c>
      <x:c r="B17" s="522" t="str">
        <x:v>96(b)</x:v>
      </x:c>
      <x:c r="C17" s="522" t="str">
        <x:v>Delito</x:v>
      </x:c>
      <x:c r="D17" s="522" t="str">
        <x:v>Importar o exportar fauna no amenazada, sus productos o derivados, sin permiso.</x:v>
      </x:c>
      <x:c r="E17" s="523" t="n">
        <x:v>1</x:v>
      </x:c>
      <x:c r="F17" s="523" t="n">
        <x:v>3</x:v>
      </x:c>
      <x:c r="G17" s="523" t="n">
        <x:v>5</x:v>
      </x:c>
      <x:c r="H17" s="522" t="str">
        <x:v>Multa o prisión de 4 a 8 meses; comiso.</x:v>
      </x:c>
      <x:c r="I17" s="522" t="str">
        <x:v>https://pgrweb.go.cr/scij/Busqueda/Normativa/normas/nrm_texto_completo.aspx?nValor1=1&amp;nValor2=12648&amp;nValor3=122136&amp;nValor4=NO&amp;param2=2&amp;strTipM=TC</x:v>
      </x:c>
      <x:c r="J17" s="522" t="str">
        <x:v>Verificar texto vigente y calificación jurídica antes de seleccionar.</x:v>
      </x:c>
    </x:row>
    <x:row r="18" ht="54" customHeight="1">
      <x:c r="A18" s="522" t="str">
        <x:v>L7317-097A</x:v>
      </x:c>
      <x:c r="B18" s="522" t="str">
        <x:v>97, párr. 1</x:v>
      </x:c>
      <x:c r="C18" s="522" t="str">
        <x:v>Delito</x:v>
      </x:c>
      <x:c r="D18" s="522" t="str">
        <x:v>Pescar en aguas continentales con explosivos, arbaletas, atarrayas, chinchorros, líneas múltiples, trasmallo u otro método que ponga en peligro la continuidad de las especies.</x:v>
      </x:c>
      <x:c r="E18" s="523" t="n">
        <x:v>5</x:v>
      </x:c>
      <x:c r="F18" s="523" t="n">
        <x:v>7.5</x:v>
      </x:c>
      <x:c r="G18" s="523" t="n">
        <x:v>10</x:v>
      </x:c>
      <x:c r="H18" s="522" t="str">
        <x:v>Multa o prisión de 2 a 8 meses; comiso del equipo o material.</x:v>
      </x:c>
      <x:c r="I18" s="522" t="str">
        <x:v>https://pgrweb.go.cr/scij/Busqueda/Normativa/normas/nrm_texto_completo.aspx?nValor1=1&amp;nValor2=12648&amp;nValor3=122136&amp;nValor4=NO&amp;param2=2&amp;strTipM=TC</x:v>
      </x:c>
      <x:c r="J18" s="522" t="str">
        <x:v>Verificar texto vigente y calificación jurídica antes de seleccionar.</x:v>
      </x:c>
    </x:row>
    <x:row r="19" ht="54" customHeight="1">
      <x:c r="A19" s="522" t="str">
        <x:v>L7317-097B</x:v>
      </x:c>
      <x:c r="B19" s="522" t="str">
        <x:v>97, párr. 2</x:v>
      </x:c>
      <x:c r="C19" s="522" t="str">
        <x:v>Delito</x:v>
      </x:c>
      <x:c r="D19" s="522" t="str">
        <x:v>Pescar en aguas continentales con venenos, cal o plaguicidas.</x:v>
      </x:c>
      <x:c r="E19" s="523" t="n">
        <x:v>10</x:v>
      </x:c>
      <x:c r="F19" s="523" t="n">
        <x:v>20</x:v>
      </x:c>
      <x:c r="G19" s="523" t="n">
        <x:v>30</x:v>
      </x:c>
      <x:c r="H19" s="522" t="str">
        <x:v>Multa o prisión de 1 a 2 años; comiso; salvo delito más grave.</x:v>
      </x:c>
      <x:c r="I19" s="522" t="str">
        <x:v>https://pgrweb.go.cr/scij/Busqueda/Normativa/normas/nrm_texto_completo.aspx?nValor1=1&amp;nValor2=12648&amp;nValor3=122136&amp;nValor4=NO&amp;param2=2&amp;strTipM=TC</x:v>
      </x:c>
      <x:c r="J19" s="522" t="str">
        <x:v>Verificar texto vigente y calificación jurídica antes de seleccionar.</x:v>
      </x:c>
    </x:row>
    <x:row r="20" ht="54" customHeight="1">
      <x:c r="A20" s="522" t="str">
        <x:v>L7317-097C</x:v>
      </x:c>
      <x:c r="B20" s="522" t="str">
        <x:v>97, párr. final</x:v>
      </x:c>
      <x:c r="C20" s="522" t="str">
        <x:v>Delito</x:v>
      </x:c>
      <x:c r="D20" s="522" t="str">
        <x:v>Dañar poblaciones objetivo de pesca, especies capturadas incidentalmente o ecosistemas de los que dependen.</x:v>
      </x:c>
      <x:c r="E20" s="523" t="n">
        <x:v>10</x:v>
      </x:c>
      <x:c r="F20" s="523" t="n">
        <x:v>20</x:v>
      </x:c>
      <x:c r="G20" s="523" t="n">
        <x:v>30</x:v>
      </x:c>
      <x:c r="H20" s="522" t="str">
        <x:v>La norma remite a igual pena del párrafo anterior; confirmar la calificación jurídica del caso.</x:v>
      </x:c>
      <x:c r="I20" s="522" t="str">
        <x:v>https://pgrweb.go.cr/scij/Busqueda/Normativa/normas/nrm_texto_completo.aspx?nValor1=1&amp;nValor2=12648&amp;nValor3=122136&amp;nValor4=NO&amp;param2=2&amp;strTipM=TC</x:v>
      </x:c>
      <x:c r="J20" s="522" t="str">
        <x:v>Verificar texto vigente y calificación jurídica antes de seleccionar.</x:v>
      </x:c>
    </x:row>
    <x:row r="21" ht="54" customHeight="1">
      <x:c r="A21" s="522" t="str">
        <x:v>L7317-099</x:v>
      </x:c>
      <x:c r="B21" s="522" t="str">
        <x:v>99</x:v>
      </x:c>
      <x:c r="C21" s="522" t="str">
        <x:v>Delito</x:v>
      </x:c>
      <x:c r="D21" s="522" t="str">
        <x:v>Introducir o liberar sin autorización especies exóticas o materiales de control biológico que pongan en peligro la conservación de flora o fauna.</x:v>
      </x:c>
      <x:c r="E21" s="523" t="n">
        <x:v>10</x:v>
      </x:c>
      <x:c r="F21" s="523" t="n">
        <x:v>20</x:v>
      </x:c>
      <x:c r="G21" s="523" t="n">
        <x:v>30</x:v>
      </x:c>
      <x:c r="H21" s="522" t="str">
        <x:v>Multa o prisión de 1 a 2 años; pérdida del equipo o material; salvo delito más grave.</x:v>
      </x:c>
      <x:c r="I21" s="522" t="str">
        <x:v>https://pgrweb.go.cr/scij/Busqueda/Normativa/normas/nrm_texto_completo.aspx?nValor1=1&amp;nValor2=12648&amp;nValor3=122136&amp;nValor4=NO&amp;param2=2&amp;strTipM=TC</x:v>
      </x:c>
      <x:c r="J21" s="522" t="str">
        <x:v>Verificar texto vigente y calificación jurídica antes de seleccionar.</x:v>
      </x:c>
    </x:row>
    <x:row r="22" ht="54" customHeight="1">
      <x:c r="A22" s="522" t="str">
        <x:v>L7317-102</x:v>
      </x:c>
      <x:c r="B22" s="522" t="str">
        <x:v>102</x:v>
      </x:c>
      <x:c r="C22" s="522" t="str">
        <x:v>Contravención</x:v>
      </x:c>
      <x:c r="D22" s="522" t="str">
        <x:v>Extraer sin autorización plantas o productos, sin fin comercial, en áreas oficiales de protección o áreas privadas autorizadas.</x:v>
      </x:c>
      <x:c r="E22" s="523" t="n">
        <x:v>0.25</x:v>
      </x:c>
      <x:c r="F22" s="523" t="n">
        <x:v>0.375</x:v>
      </x:c>
      <x:c r="G22" s="523" t="n">
        <x:v>0.5</x:v>
      </x:c>
      <x:c r="H22" s="522" t="str">
        <x:v>Multa y comiso de las piezas.</x:v>
      </x:c>
      <x:c r="I22" s="522" t="str">
        <x:v>https://pgrweb.go.cr/scij/Busqueda/Normativa/normas/nrm_texto_completo.aspx?nValor1=1&amp;nValor2=12648&amp;nValor3=122136&amp;nValor4=NO&amp;param2=2&amp;strTipM=TC</x:v>
      </x:c>
      <x:c r="J22" s="522" t="str">
        <x:v>Verificar texto vigente y calificación jurídica antes de seleccionar.</x:v>
      </x:c>
    </x:row>
    <x:row r="23" ht="54" customHeight="1">
      <x:c r="A23" s="522" t="str">
        <x:v>L7317-103</x:v>
      </x:c>
      <x:c r="B23" s="522" t="str">
        <x:v>103</x:v>
      </x:c>
      <x:c r="C23" s="522" t="str">
        <x:v>Contravención</x:v>
      </x:c>
      <x:c r="D23" s="522" t="str">
        <x:v>Extraer o comerciar sin autorización raíces o tallos de helechos arborescentes.</x:v>
      </x:c>
      <x:c r="E23" s="523" t="n">
        <x:v>0.5</x:v>
      </x:c>
      <x:c r="F23" s="523" t="n">
        <x:v>0.75</x:v>
      </x:c>
      <x:c r="G23" s="523" t="n">
        <x:v>1</x:v>
      </x:c>
      <x:c r="H23" s="522" t="str">
        <x:v>Multa.</x:v>
      </x:c>
      <x:c r="I23" s="522" t="str">
        <x:v>https://pgrweb.go.cr/scij/Busqueda/Normativa/normas/nrm_texto_completo.aspx?nValor1=1&amp;nValor2=12648&amp;nValor3=122136&amp;nValor4=NO&amp;param2=2&amp;strTipM=TC</x:v>
      </x:c>
      <x:c r="J23" s="522" t="str">
        <x:v>Verificar texto vigente y calificación jurídica antes de seleccionar.</x:v>
      </x:c>
    </x:row>
    <x:row r="24" ht="54" customHeight="1">
      <x:c r="A24" s="522" t="str">
        <x:v>L7317-104</x:v>
      </x:c>
      <x:c r="B24" s="522" t="str">
        <x:v>104</x:v>
      </x:c>
      <x:c r="C24" s="522" t="str">
        <x:v>Contravención</x:v>
      </x:c>
      <x:c r="D24" s="522" t="str">
        <x:v>Extraer o comerciar flora silvestre sin autorización, cuando no exista infracción de mayor gravedad.</x:v>
      </x:c>
      <x:c r="E24" s="523" t="n">
        <x:v>0.15</x:v>
      </x:c>
      <x:c r="F24" s="523" t="n">
        <x:v>0.225</x:v>
      </x:c>
      <x:c r="G24" s="523" t="n">
        <x:v>0.3</x:v>
      </x:c>
      <x:c r="H24" s="522" t="str">
        <x:v>Multa y comiso de las piezas.</x:v>
      </x:c>
      <x:c r="I24" s="522" t="str">
        <x:v>https://pgrweb.go.cr/scij/Busqueda/Normativa/normas/nrm_texto_completo.aspx?nValor1=1&amp;nValor2=12648&amp;nValor3=122136&amp;nValor4=NO&amp;param2=2&amp;strTipM=TC</x:v>
      </x:c>
      <x:c r="J24" s="522" t="str">
        <x:v>Verificar texto vigente y calificación jurídica antes de seleccionar.</x:v>
      </x:c>
    </x:row>
    <x:row r="25" ht="54" customHeight="1">
      <x:c r="A25" s="522" t="str">
        <x:v>L7317-105</x:v>
      </x:c>
      <x:c r="B25" s="522" t="str">
        <x:v>105</x:v>
      </x:c>
      <x:c r="C25" s="522" t="str">
        <x:v>Contravención</x:v>
      </x:c>
      <x:c r="D25" s="522" t="str">
        <x:v>Importar flora silvestre exótica sin autorización.</x:v>
      </x:c>
      <x:c r="E25" s="523" t="n">
        <x:v>0.25</x:v>
      </x:c>
      <x:c r="F25" s="523" t="n">
        <x:v>0.375</x:v>
      </x:c>
      <x:c r="G25" s="523" t="n">
        <x:v>0.5</x:v>
      </x:c>
      <x:c r="H25" s="522" t="str">
        <x:v>Multa y comiso de las piezas.</x:v>
      </x:c>
      <x:c r="I25" s="522" t="str">
        <x:v>https://pgrweb.go.cr/scij/Busqueda/Normativa/normas/nrm_texto_completo.aspx?nValor1=1&amp;nValor2=12648&amp;nValor3=122136&amp;nValor4=NO&amp;param2=2&amp;strTipM=TC</x:v>
      </x:c>
      <x:c r="J25" s="522" t="str">
        <x:v>Verificar texto vigente y calificación jurídica antes de seleccionar.</x:v>
      </x:c>
    </x:row>
    <x:row r="26" ht="54" customHeight="1">
      <x:c r="A26" s="522" t="str">
        <x:v>L7317-106</x:v>
      </x:c>
      <x:c r="B26" s="522" t="str">
        <x:v>106</x:v>
      </x:c>
      <x:c r="C26" s="522" t="str">
        <x:v>Contravención</x:v>
      </x:c>
      <x:c r="D26" s="522" t="str">
        <x:v>Ingresar sin autorización a áreas de conservación portando armas, herramientas o utensilios útiles para caza, pesca, tala, extracción, captura o trasiego, cuando no haya infracción más grave.</x:v>
      </x:c>
      <x:c r="E26" s="523" t="n">
        <x:v>1</x:v>
      </x:c>
      <x:c r="F26" s="523" t="n">
        <x:v>2</x:v>
      </x:c>
      <x:c r="G26" s="523" t="n">
        <x:v>3</x:v>
      </x:c>
      <x:c r="H26" s="522" t="str">
        <x:v>Multa.</x:v>
      </x:c>
      <x:c r="I26" s="522" t="str">
        <x:v>https://pgrweb.go.cr/scij/Busqueda/Normativa/normas/nrm_texto_completo.aspx?nValor1=1&amp;nValor2=12648&amp;nValor3=122136&amp;nValor4=NO&amp;param2=2&amp;strTipM=TC</x:v>
      </x:c>
      <x:c r="J26" s="522" t="str">
        <x:v>Verificar texto vigente y calificación jurídica antes de seleccionar.</x:v>
      </x:c>
    </x:row>
    <x:row r="27" ht="54" customHeight="1">
      <x:c r="A27" s="522" t="str">
        <x:v>L7317-107</x:v>
      </x:c>
      <x:c r="B27" s="522" t="str">
        <x:v>107</x:v>
      </x:c>
      <x:c r="C27" s="522" t="str">
        <x:v>Contravención</x:v>
      </x:c>
      <x:c r="D27" s="522" t="str">
        <x:v>Cazar fauna silvestre sin la licencia correspondiente.</x:v>
      </x:c>
      <x:c r="E27" s="523" t="n">
        <x:v>0.5</x:v>
      </x:c>
      <x:c r="F27" s="523" t="n">
        <x:v>1.25</x:v>
      </x:c>
      <x:c r="G27" s="523" t="n">
        <x:v>2</x:v>
      </x:c>
      <x:c r="H27" s="522" t="str">
        <x:v>Multa; pérdida de armas y comiso de piezas.</x:v>
      </x:c>
      <x:c r="I27" s="522" t="str">
        <x:v>https://pgrweb.go.cr/scij/Busqueda/Normativa/normas/nrm_texto_completo.aspx?nValor1=1&amp;nValor2=12648&amp;nValor3=122136&amp;nValor4=NO&amp;param2=2&amp;strTipM=TC</x:v>
      </x:c>
      <x:c r="J27" s="522" t="str">
        <x:v>Verificar texto vigente y calificación jurídica antes de seleccionar.</x:v>
      </x:c>
    </x:row>
    <x:row r="28" ht="54" customHeight="1">
      <x:c r="A28" s="522" t="str">
        <x:v>L7317-108A</x:v>
      </x:c>
      <x:c r="B28" s="522" t="str">
        <x:v>108, párr. 1</x:v>
      </x:c>
      <x:c r="C28" s="522" t="str">
        <x:v>Contravención</x:v>
      </x:c>
      <x:c r="D28" s="522" t="str">
        <x:v>Cazar especies permitidas con armas o proyectiles inadecuados.</x:v>
      </x:c>
      <x:c r="E28" s="523" t="n">
        <x:v>0.5</x:v>
      </x:c>
      <x:c r="F28" s="523" t="n">
        <x:v>0.75</x:v>
      </x:c>
      <x:c r="G28" s="523" t="n">
        <x:v>1</x:v>
      </x:c>
      <x:c r="H28" s="522" t="str">
        <x:v>Multa; comiso de armas y piezas.</x:v>
      </x:c>
      <x:c r="I28" s="522" t="str">
        <x:v>https://pgrweb.go.cr/scij/Busqueda/Normativa/normas/nrm_texto_completo.aspx?nValor1=1&amp;nValor2=12648&amp;nValor3=122136&amp;nValor4=NO&amp;param2=2&amp;strTipM=TC</x:v>
      </x:c>
      <x:c r="J28" s="522" t="str">
        <x:v>Verificar texto vigente y calificación jurídica antes de seleccionar.</x:v>
      </x:c>
    </x:row>
    <x:row r="29" ht="54" customHeight="1">
      <x:c r="A29" s="522" t="str">
        <x:v>L7317-108B</x:v>
      </x:c>
      <x:c r="B29" s="522" t="str">
        <x:v>108, párr. 2</x:v>
      </x:c>
      <x:c r="C29" s="522" t="str">
        <x:v>Contravención</x:v>
      </x:c>
      <x:c r="D29" s="522" t="str">
        <x:v>No reportar ante SINAC las piezas cazadas, pese a contar con autorización para cazar.</x:v>
      </x:c>
      <x:c r="E29" s="523" t="n">
        <x:v>0.5</x:v>
      </x:c>
      <x:c r="F29" s="523" t="n">
        <x:v>0.75</x:v>
      </x:c>
      <x:c r="G29" s="523" t="n">
        <x:v>1</x:v>
      </x:c>
      <x:c r="H29" s="522" t="str">
        <x:v>Igual pena del párrafo anterior.</x:v>
      </x:c>
      <x:c r="I29" s="522" t="str">
        <x:v>https://pgrweb.go.cr/scij/Busqueda/Normativa/normas/nrm_texto_completo.aspx?nValor1=1&amp;nValor2=12648&amp;nValor3=122136&amp;nValor4=NO&amp;param2=2&amp;strTipM=TC</x:v>
      </x:c>
      <x:c r="J29" s="522" t="str">
        <x:v>Verificar texto vigente y calificación jurídica antes de seleccionar.</x:v>
      </x:c>
    </x:row>
    <x:row r="30" ht="54" customHeight="1">
      <x:c r="A30" s="522" t="str">
        <x:v>L7317-109A</x:v>
      </x:c>
      <x:c r="B30" s="522" t="str">
        <x:v>109, párr. 1</x:v>
      </x:c>
      <x:c r="C30" s="522" t="str">
        <x:v>Contravención</x:v>
      </x:c>
      <x:c r="D30" s="522" t="str">
        <x:v>Exceder los límites reglamentarios de un permiso de caza de control o pesca respecto de piezas, tamaños, especies o zonas.</x:v>
      </x:c>
      <x:c r="E30" s="523" t="n">
        <x:v>0.5</x:v>
      </x:c>
      <x:c r="F30" s="523" t="n">
        <x:v>1.75</x:v>
      </x:c>
      <x:c r="G30" s="523" t="n">
        <x:v>3</x:v>
      </x:c>
      <x:c r="H30" s="522" t="str">
        <x:v>Multa; comiso de piezas o derivados y pérdida del equipo o material.</x:v>
      </x:c>
      <x:c r="I30" s="522" t="str">
        <x:v>https://pgrweb.go.cr/scij/Busqueda/Normativa/normas/nrm_texto_completo.aspx?nValor1=1&amp;nValor2=12648&amp;nValor3=122136&amp;nValor4=NO&amp;param2=2&amp;strTipM=TC</x:v>
      </x:c>
      <x:c r="J30" s="522" t="str">
        <x:v>Verificar texto vigente y calificación jurídica antes de seleccionar.</x:v>
      </x:c>
    </x:row>
    <x:row r="31" ht="54" customHeight="1">
      <x:c r="A31" s="522" t="str">
        <x:v>L7317-109B</x:v>
      </x:c>
      <x:c r="B31" s="522" t="str">
        <x:v>109, párr. 2</x:v>
      </x:c>
      <x:c r="C31" s="522" t="str">
        <x:v>Contravención</x:v>
      </x:c>
      <x:c r="D31" s="522" t="str">
        <x:v>Usar para fines distintos las piezas obtenidas con permisos de caza de subsistencia o control, o de colecta científica.</x:v>
      </x:c>
      <x:c r="E31" s="523" t="n">
        <x:v>0.5</x:v>
      </x:c>
      <x:c r="F31" s="523" t="n">
        <x:v>1.75</x:v>
      </x:c>
      <x:c r="G31" s="523" t="n">
        <x:v>3</x:v>
      </x:c>
      <x:c r="H31" s="522" t="str">
        <x:v>Igual pena del párrafo anterior.</x:v>
      </x:c>
      <x:c r="I31" s="522" t="str">
        <x:v>https://pgrweb.go.cr/scij/Busqueda/Normativa/normas/nrm_texto_completo.aspx?nValor1=1&amp;nValor2=12648&amp;nValor3=122136&amp;nValor4=NO&amp;param2=2&amp;strTipM=TC</x:v>
      </x:c>
      <x:c r="J31" s="522" t="str">
        <x:v>Verificar texto vigente y calificación jurídica antes de seleccionar.</x:v>
      </x:c>
    </x:row>
    <x:row r="32" ht="54" customHeight="1">
      <x:c r="A32" s="522" t="str">
        <x:v>L7317-110A</x:v>
      </x:c>
      <x:c r="B32" s="522" t="str">
        <x:v>110, supuesto 1</x:v>
      </x:c>
      <x:c r="C32" s="522" t="str">
        <x:v>Contravención</x:v>
      </x:c>
      <x:c r="D32" s="522" t="str">
        <x:v>Mantener en cautiverio o como mascota, sin autorización, fauna en peligro de extinción o con poblaciones reducidas.</x:v>
      </x:c>
      <x:c r="E32" s="523" t="n">
        <x:v>2</x:v>
      </x:c>
      <x:c r="F32" s="523" t="n">
        <x:v>3</x:v>
      </x:c>
      <x:c r="G32" s="523" t="n">
        <x:v>4</x:v>
      </x:c>
      <x:c r="H32" s="522" t="str">
        <x:v>Multa y comiso de los animales.</x:v>
      </x:c>
      <x:c r="I32" s="522" t="str">
        <x:v>https://pgrweb.go.cr/scij/Busqueda/Normativa/normas/nrm_texto_completo.aspx?nValor1=1&amp;nValor2=12648&amp;nValor3=122136&amp;nValor4=NO&amp;param2=2&amp;strTipM=TC</x:v>
      </x:c>
      <x:c r="J32" s="522" t="str">
        <x:v>Verificar texto vigente y calificación jurídica antes de seleccionar.</x:v>
      </x:c>
    </x:row>
    <x:row r="33" ht="54" customHeight="1">
      <x:c r="A33" s="522" t="str">
        <x:v>L7317-110B</x:v>
      </x:c>
      <x:c r="B33" s="522" t="str">
        <x:v>110, supuesto 2</x:v>
      </x:c>
      <x:c r="C33" s="522" t="str">
        <x:v>Contravención</x:v>
      </x:c>
      <x:c r="D33" s="522" t="str">
        <x:v>Mantener en cautiverio o como mascota, sin autorización, fauna no amenazada ni con poblaciones reducidas.</x:v>
      </x:c>
      <x:c r="E33" s="523" t="n">
        <x:v>0.5</x:v>
      </x:c>
      <x:c r="F33" s="523" t="n">
        <x:v>1.25</x:v>
      </x:c>
      <x:c r="G33" s="523" t="n">
        <x:v>2</x:v>
      </x:c>
      <x:c r="H33" s="522" t="str">
        <x:v>Multa y comiso de los animales.</x:v>
      </x:c>
      <x:c r="I33" s="522" t="str">
        <x:v>https://pgrweb.go.cr/scij/Busqueda/Normativa/normas/nrm_texto_completo.aspx?nValor1=1&amp;nValor2=12648&amp;nValor3=122136&amp;nValor4=NO&amp;param2=2&amp;strTipM=TC</x:v>
      </x:c>
      <x:c r="J33" s="522" t="str">
        <x:v>Verificar texto vigente y calificación jurídica antes de seleccionar.</x:v>
      </x:c>
    </x:row>
    <x:row r="34" ht="54" customHeight="1">
      <x:c r="A34" s="522" t="str">
        <x:v>L7317-111A</x:v>
      </x:c>
      <x:c r="B34" s="522" t="str">
        <x:v>111, párr. 1</x:v>
      </x:c>
      <x:c r="C34" s="522" t="str">
        <x:v>Contravención</x:v>
      </x:c>
      <x:c r="D34" s="522" t="str">
        <x:v>Dedicarse comercialmente a la taxidermia o al procesamiento de pieles de fauna silvestre sin autorización.</x:v>
      </x:c>
      <x:c r="E34" s="523" t="n">
        <x:v>0.25</x:v>
      </x:c>
      <x:c r="F34" s="523" t="n">
        <x:v>0.375</x:v>
      </x:c>
      <x:c r="G34" s="523" t="n">
        <x:v>0.5</x:v>
      </x:c>
      <x:c r="H34" s="522" t="str">
        <x:v>Multa.</x:v>
      </x:c>
      <x:c r="I34" s="522" t="str">
        <x:v>https://pgrweb.go.cr/scij/Busqueda/Normativa/normas/nrm_texto_completo.aspx?nValor1=1&amp;nValor2=12648&amp;nValor3=122136&amp;nValor4=NO&amp;param2=2&amp;strTipM=TC</x:v>
      </x:c>
      <x:c r="J34" s="522" t="str">
        <x:v>Verificar texto vigente y calificación jurídica antes de seleccionar.</x:v>
      </x:c>
    </x:row>
    <x:row r="35" ht="54" customHeight="1">
      <x:c r="A35" s="522" t="str">
        <x:v>L7317-111B</x:v>
      </x:c>
      <x:c r="B35" s="522" t="str">
        <x:v>111, párr. 2</x:v>
      </x:c>
      <x:c r="C35" s="522" t="str">
        <x:v>Contravención</x:v>
      </x:c>
      <x:c r="D35" s="522" t="str">
        <x:v>No llevar el libro de control exigido para taxidermia o procesamiento comercial autorizado.</x:v>
      </x:c>
      <x:c r="E35" s="523" t="n">
        <x:v>0.25</x:v>
      </x:c>
      <x:c r="F35" s="523" t="n">
        <x:v>0.375</x:v>
      </x:c>
      <x:c r="G35" s="523" t="n">
        <x:v>0.5</x:v>
      </x:c>
      <x:c r="H35" s="522" t="str">
        <x:v>Igual sanción del párrafo anterior.</x:v>
      </x:c>
      <x:c r="I35" s="522" t="str">
        <x:v>https://pgrweb.go.cr/scij/Busqueda/Normativa/normas/nrm_texto_completo.aspx?nValor1=1&amp;nValor2=12648&amp;nValor3=122136&amp;nValor4=NO&amp;param2=2&amp;strTipM=TC</x:v>
      </x:c>
      <x:c r="J35" s="522" t="str">
        <x:v>Verificar texto vigente y calificación jurídica antes de seleccionar.</x:v>
      </x:c>
    </x:row>
    <x:row r="36" ht="54" customHeight="1">
      <x:c r="A36" s="522" t="str">
        <x:v>L7317-112</x:v>
      </x:c>
      <x:c r="B36" s="522" t="str">
        <x:v>112</x:v>
      </x:c>
      <x:c r="C36" s="522" t="str">
        <x:v>Contravención</x:v>
      </x:c>
      <x:c r="D36" s="522" t="str">
        <x:v>Dejar voluntariamente de buscar las piezas cazadas o pescadas y provocar desperdicio del recurso.</x:v>
      </x:c>
      <x:c r="E36" s="523" t="n">
        <x:v>0.25</x:v>
      </x:c>
      <x:c r="F36" s="523" t="n">
        <x:v>0.375</x:v>
      </x:c>
      <x:c r="G36" s="523" t="n">
        <x:v>0.5</x:v>
      </x:c>
      <x:c r="H36" s="522" t="str">
        <x:v>Multa.</x:v>
      </x:c>
      <x:c r="I36" s="522" t="str">
        <x:v>https://pgrweb.go.cr/scij/Busqueda/Normativa/normas/nrm_texto_completo.aspx?nValor1=1&amp;nValor2=12648&amp;nValor3=122136&amp;nValor4=NO&amp;param2=2&amp;strTipM=TC</x:v>
      </x:c>
      <x:c r="J36" s="522" t="str">
        <x:v>Verificar texto vigente y calificación jurídica antes de seleccionar.</x:v>
      </x:c>
    </x:row>
    <x:row r="37" ht="54" customHeight="1">
      <x:c r="A37" s="522" t="str">
        <x:v>L7317-113</x:v>
      </x:c>
      <x:c r="B37" s="522" t="str">
        <x:v>113</x:v>
      </x:c>
      <x:c r="C37" s="522" t="str">
        <x:v>Contravención</x:v>
      </x:c>
      <x:c r="D37" s="522" t="str">
        <x:v>Pescar sin la licencia correspondiente.</x:v>
      </x:c>
      <x:c r="E37" s="523" t="n">
        <x:v>0.5</x:v>
      </x:c>
      <x:c r="F37" s="523" t="n">
        <x:v>1.25</x:v>
      </x:c>
      <x:c r="G37" s="523" t="n">
        <x:v>2</x:v>
      </x:c>
      <x:c r="H37" s="522" t="str">
        <x:v>Multa; pérdida del equipo señalado y comiso de piezas.</x:v>
      </x:c>
      <x:c r="I37" s="522" t="str">
        <x:v>https://pgrweb.go.cr/scij/Busqueda/Normativa/normas/nrm_texto_completo.aspx?nValor1=1&amp;nValor2=12648&amp;nValor3=122136&amp;nValor4=NO&amp;param2=2&amp;strTipM=TC</x:v>
      </x:c>
      <x:c r="J37" s="522" t="str">
        <x:v>Verificar texto vigente y calificación jurídica antes de seleccionar.</x:v>
      </x:c>
    </x:row>
    <x:row r="38" ht="54" customHeight="1">
      <x:c r="A38" s="522" t="str">
        <x:v>L7317-114</x:v>
      </x:c>
      <x:c r="B38" s="522" t="str">
        <x:v>114</x:v>
      </x:c>
      <x:c r="C38" s="522" t="str">
        <x:v>Contravención</x:v>
      </x:c>
      <x:c r="D38" s="522" t="str">
        <x:v>Exceder límites de pesca respecto de tamaños, cantidades, especies o zonas autorizadas.</x:v>
      </x:c>
      <x:c r="E38" s="523" t="n">
        <x:v>0.15</x:v>
      </x:c>
      <x:c r="F38" s="523" t="n">
        <x:v>0.225</x:v>
      </x:c>
      <x:c r="G38" s="523" t="n">
        <x:v>0.3</x:v>
      </x:c>
      <x:c r="H38" s="522" t="str">
        <x:v>Multa.</x:v>
      </x:c>
      <x:c r="I38" s="522" t="str">
        <x:v>https://pgrweb.go.cr/scij/Busqueda/Normativa/normas/nrm_texto_completo.aspx?nValor1=1&amp;nValor2=12648&amp;nValor3=122136&amp;nValor4=NO&amp;param2=2&amp;strTipM=TC</x:v>
      </x:c>
      <x:c r="J38" s="522" t="str">
        <x:v>Verificar texto vigente y calificación jurídica antes de seleccionar.</x:v>
      </x:c>
    </x:row>
    <x:row r="39" ht="54" customHeight="1">
      <x:c r="A39" s="522" t="str">
        <x:v>L7317-115</x:v>
      </x:c>
      <x:c r="B39" s="522" t="str">
        <x:v>115</x:v>
      </x:c>
      <x:c r="C39" s="522" t="str">
        <x:v>Contravención</x:v>
      </x:c>
      <x:c r="D39" s="522" t="str">
        <x:v>Pescar en tiempo de veda.</x:v>
      </x:c>
      <x:c r="E39" s="523" t="n">
        <x:v>0.5</x:v>
      </x:c>
      <x:c r="F39" s="523" t="n">
        <x:v>0.75</x:v>
      </x:c>
      <x:c r="G39" s="523" t="n">
        <x:v>1</x:v>
      </x:c>
      <x:c r="H39" s="522" t="str">
        <x:v>Multa y comiso del equipo y las piezas.</x:v>
      </x:c>
      <x:c r="I39" s="522" t="str">
        <x:v>https://pgrweb.go.cr/scij/Busqueda/Normativa/normas/nrm_texto_completo.aspx?nValor1=1&amp;nValor2=12648&amp;nValor3=122136&amp;nValor4=NO&amp;param2=2&amp;strTipM=TC</x:v>
      </x:c>
      <x:c r="J39" s="522" t="str">
        <x:v>Verificar texto vigente y calificación jurídica antes de seleccionar.</x:v>
      </x:c>
    </x:row>
    <x:row r="40" ht="54" customHeight="1">
      <x:c r="A40" s="522" t="str">
        <x:v>L7317-116</x:v>
      </x:c>
      <x:c r="B40" s="522" t="str">
        <x:v>116</x:v>
      </x:c>
      <x:c r="C40" s="522" t="str">
        <x:v>Contravención</x:v>
      </x:c>
      <x:c r="D40" s="522" t="str">
        <x:v>Suministrar sin autorización alimentos o sustancias no autorizadas a la fauna silvestre.</x:v>
      </x:c>
      <x:c r="E40" s="523" t="n">
        <x:v>0.15</x:v>
      </x:c>
      <x:c r="F40" s="523" t="n">
        <x:v>0.225</x:v>
      </x:c>
      <x:c r="G40" s="523" t="n">
        <x:v>0.3</x:v>
      </x:c>
      <x:c r="H40" s="522" t="str">
        <x:v>Multa.</x:v>
      </x:c>
      <x:c r="I40" s="522" t="str">
        <x:v>https://pgrweb.go.cr/scij/Busqueda/Normativa/normas/nrm_texto_completo.aspx?nValor1=1&amp;nValor2=12648&amp;nValor3=122136&amp;nValor4=NO&amp;param2=2&amp;strTipM=TC</x:v>
      </x:c>
      <x:c r="J40" s="522" t="str">
        <x:v>Verificar texto vigente y calificación jurídica antes de seleccionar.</x:v>
      </x:c>
    </x:row>
  </x:sheetData>
  <x:mergeCells>
    <x:mergeCell ref="A1:J1"/>
    <x:mergeCell ref="A2:J2"/>
  </x:mergeCells>
  <x:pageMargins left="0.7" right="0.7" top="0.75" bottom="0.75" header="0.3" footer="0.3"/>
</x:worksheet>
</file>